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9754a7cae6450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ccueil" sheetId="1" r:id="Rc6853ede3eb64a7d"/>
    <x:sheet xmlns:r="http://schemas.openxmlformats.org/officeDocument/2006/relationships" name="Source - DVF" sheetId="2" r:id="Rbbd8a0f3df0d401f"/>
    <x:sheet xmlns:r="http://schemas.openxmlformats.org/officeDocument/2006/relationships" name="Source - Géographie" sheetId="3" r:id="Ree47a877868644e4"/>
    <x:sheet xmlns:r="http://schemas.openxmlformats.org/officeDocument/2006/relationships" name="Source - Population" sheetId="4" r:id="R2203df29fe43431a"/>
    <x:sheet xmlns:r="http://schemas.openxmlformats.org/officeDocument/2006/relationships" name="Modèle final" sheetId="5" r:id="Rad94e4df061a40e6"/>
    <x:sheet xmlns:r="http://schemas.openxmlformats.org/officeDocument/2006/relationships" name="Lexique" sheetId="6" r:id="R6e479c07c49043a7"/>
  </x:sheets>
</x:workbook>
</file>

<file path=xl/comments1.xml><?xml version="1.0" encoding="utf-8"?>
<x:comments xmlns:x="http://schemas.openxmlformats.org/spreadsheetml/2006/main">
  <x:authors>
    <x:author>tc={271C787F-20D0-46DA-3042-F8663E80D806}</x:author>
  </x:authors>
  <x:commentList>
    <x:comment ref="A19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 : Valeurs-foncières.xlsx — la colonne Nom de l'acquereur est retirée avant export conformément au principe de minimisation RGPD.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4">
    <x:font>
      <x:sz val="11"/>
      <x:name val="Carlito"/>
    </x:font>
    <x:font>
      <x:b/>
      <x:sz val="24"/>
      <x:color rgb="FFFFFFFF"/>
      <x:name val="Carlito"/>
    </x:font>
    <x:font>
      <x:i/>
      <x:sz val="11"/>
      <x:color rgb="FFBFDBFE"/>
      <x:name val="Carlito"/>
    </x:font>
    <x:font>
      <x:b/>
      <x:sz val="11"/>
      <x:color rgb="FFFFFFFF"/>
      <x:name val="Carlito"/>
    </x:font>
    <x:font>
      <x:b/>
      <x:sz val="11"/>
      <x:color rgb="FF2563EB"/>
      <x:name val="Carlito"/>
    </x:font>
    <x:font>
      <x:b/>
      <x:sz val="10"/>
      <x:color rgb="FF2563EB"/>
      <x:name val="Carlito"/>
    </x:font>
    <x:font>
      <x:b/>
      <x:sz val="22"/>
      <x:color rgb="FF2563EB"/>
      <x:name val="Carlito"/>
    </x:font>
    <x:font>
      <x:b/>
      <x:sz val="11"/>
      <x:color rgb="FF0891B2"/>
      <x:name val="Carlito"/>
    </x:font>
    <x:font>
      <x:b/>
      <x:sz val="10"/>
      <x:color rgb="FF0891B2"/>
      <x:name val="Carlito"/>
    </x:font>
    <x:font>
      <x:b/>
      <x:sz val="22"/>
      <x:color rgb="FF0891B2"/>
      <x:name val="Carlito"/>
    </x:font>
    <x:font>
      <x:b/>
      <x:sz val="11"/>
      <x:color rgb="FF059669"/>
      <x:name val="Carlito"/>
    </x:font>
    <x:font>
      <x:b/>
      <x:sz val="10"/>
      <x:color rgb="FF059669"/>
      <x:name val="Carlito"/>
    </x:font>
    <x:font>
      <x:b/>
      <x:sz val="22"/>
      <x:color rgb="FF059669"/>
      <x:name val="Carlito"/>
    </x:font>
    <x:font>
      <x:b/>
      <x:sz val="11"/>
      <x:color rgb="FF7C3AED"/>
      <x:name val="Carlito"/>
    </x:font>
    <x:font>
      <x:b/>
      <x:sz val="10"/>
      <x:color rgb="FF7C3AED"/>
      <x:name val="Carlito"/>
    </x:font>
    <x:font>
      <x:b/>
      <x:sz val="22"/>
      <x:color rgb="FF7C3AED"/>
      <x:name val="Carlito"/>
    </x:font>
    <x:font>
      <x:b/>
      <x:sz val="11"/>
      <x:color rgb="FF0F172A"/>
      <x:name val="Carlito"/>
    </x:font>
    <x:font>
      <x:b/>
      <x:sz val="11"/>
      <x:color rgb="FFD97706"/>
      <x:name val="Carlito"/>
    </x:font>
    <x:font>
      <x:b/>
      <x:sz val="11"/>
      <x:color rgb="FFDC2626"/>
      <x:name val="Carlito"/>
    </x:font>
    <x:font>
      <x:b/>
      <x:sz val="12"/>
      <x:color rgb="FFFFFFFF"/>
      <x:name val="Carlito"/>
    </x:font>
    <x:font>
      <x:b/>
      <x:sz val="20"/>
      <x:color rgb="FFFFFFFF"/>
      <x:name val="Carlito"/>
    </x:font>
    <x:font>
      <x:i/>
      <x:sz val="10"/>
      <x:color rgb="FFBFDBFE"/>
      <x:name val="Carlito"/>
    </x:font>
    <x:font>
      <x:b/>
      <x:sz val="9"/>
      <x:color rgb="FF2563EB"/>
      <x:name val="Carlito"/>
    </x:font>
    <x:font>
      <x:b/>
      <x:sz val="10"/>
      <x:color rgb="FFFFFFFF"/>
      <x:name val="Carlito"/>
    </x:font>
  </x:fonts>
  <x:fills count="13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1E293B"/>
      </x:patternFill>
    </x:fill>
    <x:fill>
      <x:patternFill patternType="solid">
        <x:fgColor rgb="FF2563EB"/>
      </x:patternFill>
    </x:fill>
    <x:fill>
      <x:patternFill patternType="solid">
        <x:fgColor rgb="FFEFF6FF"/>
      </x:patternFill>
    </x:fill>
    <x:fill>
      <x:patternFill patternType="solid">
        <x:fgColor rgb="FFECFEFF"/>
      </x:patternFill>
    </x:fill>
    <x:fill>
      <x:patternFill patternType="solid">
        <x:fgColor rgb="FFECFDF5"/>
      </x:patternFill>
    </x:fill>
    <x:fill>
      <x:patternFill patternType="solid">
        <x:fgColor rgb="FFF5F3FF"/>
      </x:patternFill>
    </x:fill>
    <x:fill>
      <x:patternFill patternType="solid">
        <x:fgColor rgb="FFFFFBEB"/>
      </x:patternFill>
    </x:fill>
    <x:fill>
      <x:patternFill patternType="solid">
        <x:fgColor rgb="FFFEF2F2"/>
      </x:patternFill>
    </x:fill>
    <x:fill>
      <x:patternFill patternType="solid">
        <x:fgColor rgb="FFFF4B2B"/>
      </x:patternFill>
    </x:fill>
    <x:fill>
      <x:patternFill patternType="solid">
        <x:fgColor rgb="FFF8FAFC"/>
      </x:patternFill>
    </x:fill>
  </x:fills>
  <x:borders count="43">
    <x:border/>
    <x:border>
      <x:left style="medium">
        <x:color rgb="FF2563EB"/>
      </x:left>
      <x:top style="medium">
        <x:color rgb="FF2563EB"/>
      </x:top>
    </x:border>
    <x:border>
      <x:right style="medium">
        <x:color rgb="FF2563EB"/>
      </x:right>
      <x:top style="medium">
        <x:color rgb="FF2563EB"/>
      </x:top>
    </x:border>
    <x:border>
      <x:left style="medium">
        <x:color rgb="FF2563EB"/>
      </x:left>
    </x:border>
    <x:border>
      <x:right style="medium">
        <x:color rgb="FF2563EB"/>
      </x:right>
    </x:border>
    <x:border>
      <x:left style="medium">
        <x:color rgb="FF2563EB"/>
      </x:left>
      <x:bottom style="medium">
        <x:color rgb="FF2563EB"/>
      </x:bottom>
    </x:border>
    <x:border>
      <x:right style="medium">
        <x:color rgb="FF2563EB"/>
      </x:right>
      <x:bottom style="medium">
        <x:color rgb="FF2563EB"/>
      </x:bottom>
    </x:border>
    <x:border>
      <x:left style="medium">
        <x:color rgb="FF0891B2"/>
      </x:left>
      <x:top style="medium">
        <x:color rgb="FF0891B2"/>
      </x:top>
    </x:border>
    <x:border>
      <x:right style="medium">
        <x:color rgb="FF0891B2"/>
      </x:right>
      <x:top style="medium">
        <x:color rgb="FF0891B2"/>
      </x:top>
    </x:border>
    <x:border>
      <x:left style="medium">
        <x:color rgb="FF0891B2"/>
      </x:left>
    </x:border>
    <x:border>
      <x:right style="medium">
        <x:color rgb="FF0891B2"/>
      </x:right>
    </x:border>
    <x:border>
      <x:left style="medium">
        <x:color rgb="FF0891B2"/>
      </x:left>
      <x:bottom style="medium">
        <x:color rgb="FF0891B2"/>
      </x:bottom>
    </x:border>
    <x:border>
      <x:right style="medium">
        <x:color rgb="FF0891B2"/>
      </x:right>
      <x:bottom style="medium">
        <x:color rgb="FF0891B2"/>
      </x:bottom>
    </x:border>
    <x:border>
      <x:left style="medium">
        <x:color rgb="FF059669"/>
      </x:left>
      <x:top style="medium">
        <x:color rgb="FF059669"/>
      </x:top>
    </x:border>
    <x:border>
      <x:right style="medium">
        <x:color rgb="FF059669"/>
      </x:right>
      <x:top style="medium">
        <x:color rgb="FF059669"/>
      </x:top>
    </x:border>
    <x:border>
      <x:left style="medium">
        <x:color rgb="FF059669"/>
      </x:left>
    </x:border>
    <x:border>
      <x:right style="medium">
        <x:color rgb="FF059669"/>
      </x:right>
    </x:border>
    <x:border>
      <x:left style="medium">
        <x:color rgb="FF059669"/>
      </x:left>
      <x:bottom style="medium">
        <x:color rgb="FF059669"/>
      </x:bottom>
    </x:border>
    <x:border>
      <x:right style="medium">
        <x:color rgb="FF059669"/>
      </x:right>
      <x:bottom style="medium">
        <x:color rgb="FF059669"/>
      </x:bottom>
    </x:border>
    <x:border>
      <x:left style="medium">
        <x:color rgb="FF7C3AED"/>
      </x:left>
      <x:top style="medium">
        <x:color rgb="FF7C3AED"/>
      </x:top>
    </x:border>
    <x:border>
      <x:right style="medium">
        <x:color rgb="FF7C3AED"/>
      </x:right>
      <x:top style="medium">
        <x:color rgb="FF7C3AED"/>
      </x:top>
    </x:border>
    <x:border>
      <x:left style="medium">
        <x:color rgb="FF7C3AED"/>
      </x:left>
    </x:border>
    <x:border>
      <x:right style="medium">
        <x:color rgb="FF7C3AED"/>
      </x:right>
    </x:border>
    <x:border>
      <x:left style="medium">
        <x:color rgb="FF7C3AED"/>
      </x:left>
      <x:bottom style="medium">
        <x:color rgb="FF7C3AED"/>
      </x:bottom>
    </x:border>
    <x:border>
      <x:right style="medium">
        <x:color rgb="FF7C3AED"/>
      </x:right>
      <x:bottom style="medium">
        <x:color rgb="FF7C3AED"/>
      </x:bottom>
    </x:border>
    <x:border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top style="thin">
        <x:color rgb="FFCBD5E1"/>
      </x:top>
    </x:border>
    <x:border>
      <x:left style="medium">
        <x:color rgb="FF2563EB"/>
      </x:left>
      <x:top style="medium">
        <x:color rgb="FF2563EB"/>
      </x:top>
      <x:bottom style="medium">
        <x:color rgb="FF2563EB"/>
      </x:bottom>
    </x:border>
    <x:border>
      <x:top style="medium">
        <x:color rgb="FF2563EB"/>
      </x:top>
      <x:bottom style="medium">
        <x:color rgb="FF2563EB"/>
      </x:bottom>
    </x:border>
    <x:border>
      <x:right style="medium">
        <x:color rgb="FF2563EB"/>
      </x:right>
      <x:top style="medium">
        <x:color rgb="FF2563EB"/>
      </x:top>
      <x:bottom style="medium">
        <x:color rgb="FF2563EB"/>
      </x:bottom>
    </x:border>
    <x:border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bottom style="thin">
        <x:color rgb="FFE2E8F0"/>
      </x:bottom>
    </x:border>
    <x:border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top style="thin">
        <x:color rgb="FFE2E8F0"/>
      </x:top>
      <x:bottom style="thin">
        <x:color rgb="FFE2E8F0"/>
      </x:bottom>
    </x:border>
    <x:border>
      <x:right style="thin">
        <x:color rgb="FFE2E8F0"/>
      </x:right>
      <x:top style="thin">
        <x:color rgb="FFE2E8F0"/>
      </x:top>
    </x:border>
    <x:border>
      <x:left style="thin">
        <x:color rgb="FFE2E8F0"/>
      </x:left>
      <x:right style="thin">
        <x:color rgb="FFE2E8F0"/>
      </x:right>
      <x:top style="thin">
        <x:color rgb="FFE2E8F0"/>
      </x:top>
    </x:border>
    <x:border>
      <x:left style="thin">
        <x:color rgb="FFE2E8F0"/>
      </x:left>
      <x:top style="thin">
        <x:color rgb="FFE2E8F0"/>
      </x:top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</x:border>
  </x:borders>
  <x:cellStyleXfs count="1">
    <x:xf numFmtId="0" fontId="0" fillId="0" borderId="0"/>
  </x:cellStyleXfs>
  <x:cellXfs count="21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4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0" fontId="4" fillId="5" borderId="1" xfId="0" applyNumberFormat="1" applyFont="1" applyFill="1" applyBorder="1" applyAlignment="1">
      <x:alignment horizontal="center"/>
    </x:xf>
    <x:xf numFmtId="0" fontId="4" fillId="5" borderId="2" xfId="0" applyNumberFormat="1" applyFont="1" applyFill="1" applyBorder="1" applyAlignment="1">
      <x:alignment horizontal="center"/>
    </x:xf>
    <x:xf numFmtId="0" fontId="4" fillId="5" borderId="3" xfId="0" applyNumberFormat="1" applyFont="1" applyFill="1" applyBorder="1" applyAlignment="1">
      <x:alignment horizontal="center"/>
    </x:xf>
    <x:xf numFmtId="0" fontId="4" fillId="5" borderId="4" xfId="0" applyNumberFormat="1" applyFont="1" applyFill="1" applyBorder="1" applyAlignment="1">
      <x:alignment horizontal="center"/>
    </x:xf>
    <x:xf numFmtId="0" fontId="4" fillId="5" borderId="5" xfId="0" applyNumberFormat="1" applyFont="1" applyFill="1" applyBorder="1" applyAlignment="1">
      <x:alignment horizontal="center"/>
    </x:xf>
    <x:xf numFmtId="0" fontId="4" fillId="5" borderId="6" xfId="0" applyNumberFormat="1" applyFont="1" applyFill="1" applyBorder="1" applyAlignment="1">
      <x:alignment horizontal="center"/>
    </x:xf>
    <x:xf numFmtId="0" fontId="4" fillId="5" borderId="1" xfId="0" applyNumberFormat="1" applyFont="1" applyFill="1" applyBorder="1" applyAlignment="1">
      <x:alignment horizontal="center" vertical="center"/>
    </x:xf>
    <x:xf numFmtId="0" fontId="4" fillId="5" borderId="2" xfId="0" applyNumberFormat="1" applyFont="1" applyFill="1" applyBorder="1" applyAlignment="1">
      <x:alignment horizontal="center" vertical="center"/>
    </x:xf>
    <x:xf numFmtId="0" fontId="4" fillId="5" borderId="3" xfId="0" applyNumberFormat="1" applyFont="1" applyFill="1" applyBorder="1" applyAlignment="1">
      <x:alignment horizontal="center" vertical="center"/>
    </x:xf>
    <x:xf numFmtId="0" fontId="4" fillId="5" borderId="4" xfId="0" applyNumberFormat="1" applyFont="1" applyFill="1" applyBorder="1" applyAlignment="1">
      <x:alignment horizontal="center" vertical="center"/>
    </x:xf>
    <x:xf numFmtId="0" fontId="4" fillId="5" borderId="5" xfId="0" applyNumberFormat="1" applyFont="1" applyFill="1" applyBorder="1" applyAlignment="1">
      <x:alignment horizontal="center" vertical="center"/>
    </x:xf>
    <x:xf numFmtId="0" fontId="4" fillId="5" borderId="6" xfId="0" applyNumberFormat="1" applyFont="1" applyFill="1" applyBorder="1" applyAlignment="1">
      <x:alignment horizontal="center" vertic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6" fillId="5" borderId="3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7" xfId="0" applyNumberFormat="1" applyFont="1" applyFill="1" applyBorder="1"/>
    <x:xf numFmtId="0" fontId="7" fillId="6" borderId="8" xfId="0" applyNumberFormat="1" applyFont="1" applyFill="1" applyBorder="1"/>
    <x:xf numFmtId="0" fontId="7" fillId="6" borderId="9" xfId="0" applyNumberFormat="1" applyFont="1" applyFill="1" applyBorder="1"/>
    <x:xf numFmtId="0" fontId="7" fillId="6" borderId="10" xfId="0" applyNumberFormat="1" applyFont="1" applyFill="1" applyBorder="1"/>
    <x:xf numFmtId="0" fontId="7" fillId="6" borderId="11" xfId="0" applyNumberFormat="1" applyFont="1" applyFill="1" applyBorder="1"/>
    <x:xf numFmtId="0" fontId="7" fillId="6" borderId="12" xfId="0" applyNumberFormat="1" applyFont="1" applyFill="1" applyBorder="1"/>
    <x:xf numFmtId="0" fontId="7" fillId="6" borderId="7" xfId="0" applyNumberFormat="1" applyFont="1" applyFill="1" applyBorder="1" applyAlignment="1">
      <x:alignment horizontal="center"/>
    </x:xf>
    <x:xf numFmtId="0" fontId="7" fillId="6" borderId="8" xfId="0" applyNumberFormat="1" applyFont="1" applyFill="1" applyBorder="1" applyAlignment="1">
      <x:alignment horizontal="center"/>
    </x:xf>
    <x:xf numFmtId="0" fontId="7" fillId="6" borderId="9" xfId="0" applyNumberFormat="1" applyFont="1" applyFill="1" applyBorder="1" applyAlignment="1">
      <x:alignment horizontal="center"/>
    </x:xf>
    <x:xf numFmtId="0" fontId="7" fillId="6" borderId="10" xfId="0" applyNumberFormat="1" applyFont="1" applyFill="1" applyBorder="1" applyAlignment="1">
      <x:alignment horizontal="center"/>
    </x:xf>
    <x:xf numFmtId="0" fontId="7" fillId="6" borderId="11" xfId="0" applyNumberFormat="1" applyFont="1" applyFill="1" applyBorder="1" applyAlignment="1">
      <x:alignment horizontal="center"/>
    </x:xf>
    <x:xf numFmtId="0" fontId="7" fillId="6" borderId="12" xfId="0" applyNumberFormat="1" applyFont="1" applyFill="1" applyBorder="1" applyAlignment="1">
      <x:alignment horizontal="center"/>
    </x:xf>
    <x:xf numFmtId="0" fontId="7" fillId="6" borderId="7" xfId="0" applyNumberFormat="1" applyFont="1" applyFill="1" applyBorder="1" applyAlignment="1">
      <x:alignment horizontal="center" vertical="center"/>
    </x:xf>
    <x:xf numFmtId="0" fontId="7" fillId="6" borderId="8" xfId="0" applyNumberFormat="1" applyFont="1" applyFill="1" applyBorder="1" applyAlignment="1">
      <x:alignment horizontal="center" vertical="center"/>
    </x:xf>
    <x:xf numFmtId="0" fontId="7" fillId="6" borderId="9" xfId="0" applyNumberFormat="1" applyFont="1" applyFill="1" applyBorder="1" applyAlignment="1">
      <x:alignment horizontal="center" vertical="center"/>
    </x:xf>
    <x:xf numFmtId="0" fontId="7" fillId="6" borderId="10" xfId="0" applyNumberFormat="1" applyFont="1" applyFill="1" applyBorder="1" applyAlignment="1">
      <x:alignment horizontal="center" vertical="center"/>
    </x:xf>
    <x:xf numFmtId="0" fontId="7" fillId="6" borderId="11" xfId="0" applyNumberFormat="1" applyFont="1" applyFill="1" applyBorder="1" applyAlignment="1">
      <x:alignment horizontal="center" vertical="center"/>
    </x:xf>
    <x:xf numFmtId="0" fontId="7" fillId="6" borderId="12" xfId="0" applyNumberFormat="1" applyFont="1" applyFill="1" applyBorder="1" applyAlignment="1">
      <x:alignment horizontal="center" vertical="center"/>
    </x:xf>
    <x:xf numFmtId="0" fontId="8" fillId="6" borderId="7" xfId="0" applyNumberFormat="1" applyFont="1" applyFill="1" applyBorder="1" applyAlignment="1">
      <x:alignment horizontal="center" vertical="center"/>
    </x:xf>
    <x:xf numFmtId="0" fontId="9" fillId="6" borderId="9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10" fillId="7" borderId="0" xfId="0" applyNumberFormat="1" applyFont="1" applyFill="1" applyBorder="1"/>
    <x:xf numFmtId="0" fontId="10" fillId="7" borderId="13" xfId="0" applyNumberFormat="1" applyFont="1" applyFill="1" applyBorder="1"/>
    <x:xf numFmtId="0" fontId="10" fillId="7" borderId="14" xfId="0" applyNumberFormat="1" applyFont="1" applyFill="1" applyBorder="1"/>
    <x:xf numFmtId="0" fontId="10" fillId="7" borderId="15" xfId="0" applyNumberFormat="1" applyFont="1" applyFill="1" applyBorder="1"/>
    <x:xf numFmtId="0" fontId="10" fillId="7" borderId="16" xfId="0" applyNumberFormat="1" applyFont="1" applyFill="1" applyBorder="1"/>
    <x:xf numFmtId="0" fontId="10" fillId="7" borderId="17" xfId="0" applyNumberFormat="1" applyFont="1" applyFill="1" applyBorder="1"/>
    <x:xf numFmtId="0" fontId="10" fillId="7" borderId="18" xfId="0" applyNumberFormat="1" applyFont="1" applyFill="1" applyBorder="1"/>
    <x:xf numFmtId="0" fontId="10" fillId="7" borderId="13" xfId="0" applyNumberFormat="1" applyFont="1" applyFill="1" applyBorder="1" applyAlignment="1">
      <x:alignment horizontal="center"/>
    </x:xf>
    <x:xf numFmtId="0" fontId="10" fillId="7" borderId="14" xfId="0" applyNumberFormat="1" applyFont="1" applyFill="1" applyBorder="1" applyAlignment="1">
      <x:alignment horizontal="center"/>
    </x:xf>
    <x:xf numFmtId="0" fontId="10" fillId="7" borderId="15" xfId="0" applyNumberFormat="1" applyFont="1" applyFill="1" applyBorder="1" applyAlignment="1">
      <x:alignment horizontal="center"/>
    </x:xf>
    <x:xf numFmtId="0" fontId="10" fillId="7" borderId="16" xfId="0" applyNumberFormat="1" applyFont="1" applyFill="1" applyBorder="1" applyAlignment="1">
      <x:alignment horizontal="center"/>
    </x:xf>
    <x:xf numFmtId="0" fontId="10" fillId="7" borderId="17" xfId="0" applyNumberFormat="1" applyFont="1" applyFill="1" applyBorder="1" applyAlignment="1">
      <x:alignment horizontal="center"/>
    </x:xf>
    <x:xf numFmtId="0" fontId="10" fillId="7" borderId="18" xfId="0" applyNumberFormat="1" applyFont="1" applyFill="1" applyBorder="1" applyAlignment="1">
      <x:alignment horizontal="center"/>
    </x:xf>
    <x:xf numFmtId="0" fontId="10" fillId="7" borderId="13" xfId="0" applyNumberFormat="1" applyFont="1" applyFill="1" applyBorder="1" applyAlignment="1">
      <x:alignment horizontal="center" vertical="center"/>
    </x:xf>
    <x:xf numFmtId="0" fontId="10" fillId="7" borderId="14" xfId="0" applyNumberFormat="1" applyFont="1" applyFill="1" applyBorder="1" applyAlignment="1">
      <x:alignment horizontal="center" vertical="center"/>
    </x:xf>
    <x:xf numFmtId="0" fontId="10" fillId="7" borderId="15" xfId="0" applyNumberFormat="1" applyFont="1" applyFill="1" applyBorder="1" applyAlignment="1">
      <x:alignment horizontal="center" vertical="center"/>
    </x:xf>
    <x:xf numFmtId="0" fontId="10" fillId="7" borderId="16" xfId="0" applyNumberFormat="1" applyFont="1" applyFill="1" applyBorder="1" applyAlignment="1">
      <x:alignment horizontal="center" vertical="center"/>
    </x:xf>
    <x:xf numFmtId="0" fontId="10" fillId="7" borderId="17" xfId="0" applyNumberFormat="1" applyFont="1" applyFill="1" applyBorder="1" applyAlignment="1">
      <x:alignment horizontal="center" vertical="center"/>
    </x:xf>
    <x:xf numFmtId="0" fontId="10" fillId="7" borderId="18" xfId="0" applyNumberFormat="1" applyFont="1" applyFill="1" applyBorder="1" applyAlignment="1">
      <x:alignment horizontal="center" vertical="center"/>
    </x:xf>
    <x:xf numFmtId="0" fontId="11" fillId="7" borderId="13" xfId="0" applyNumberFormat="1" applyFont="1" applyFill="1" applyBorder="1" applyAlignment="1">
      <x:alignment horizontal="center" vertical="center"/>
    </x:xf>
    <x:xf numFmtId="0" fontId="12" fillId="7" borderId="15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13" fillId="8" borderId="0" xfId="0" applyNumberFormat="1" applyFont="1" applyFill="1" applyBorder="1"/>
    <x:xf numFmtId="0" fontId="13" fillId="8" borderId="19" xfId="0" applyNumberFormat="1" applyFont="1" applyFill="1" applyBorder="1"/>
    <x:xf numFmtId="0" fontId="13" fillId="8" borderId="20" xfId="0" applyNumberFormat="1" applyFont="1" applyFill="1" applyBorder="1"/>
    <x:xf numFmtId="0" fontId="13" fillId="8" borderId="21" xfId="0" applyNumberFormat="1" applyFont="1" applyFill="1" applyBorder="1"/>
    <x:xf numFmtId="0" fontId="13" fillId="8" borderId="22" xfId="0" applyNumberFormat="1" applyFont="1" applyFill="1" applyBorder="1"/>
    <x:xf numFmtId="0" fontId="13" fillId="8" borderId="23" xfId="0" applyNumberFormat="1" applyFont="1" applyFill="1" applyBorder="1"/>
    <x:xf numFmtId="0" fontId="13" fillId="8" borderId="24" xfId="0" applyNumberFormat="1" applyFont="1" applyFill="1" applyBorder="1"/>
    <x:xf numFmtId="0" fontId="13" fillId="8" borderId="19" xfId="0" applyNumberFormat="1" applyFont="1" applyFill="1" applyBorder="1" applyAlignment="1">
      <x:alignment horizontal="center"/>
    </x:xf>
    <x:xf numFmtId="0" fontId="13" fillId="8" borderId="20" xfId="0" applyNumberFormat="1" applyFont="1" applyFill="1" applyBorder="1" applyAlignment="1">
      <x:alignment horizontal="center"/>
    </x:xf>
    <x:xf numFmtId="0" fontId="13" fillId="8" borderId="21" xfId="0" applyNumberFormat="1" applyFont="1" applyFill="1" applyBorder="1" applyAlignment="1">
      <x:alignment horizontal="center"/>
    </x:xf>
    <x:xf numFmtId="0" fontId="13" fillId="8" borderId="22" xfId="0" applyNumberFormat="1" applyFont="1" applyFill="1" applyBorder="1" applyAlignment="1">
      <x:alignment horizontal="center"/>
    </x:xf>
    <x:xf numFmtId="0" fontId="13" fillId="8" borderId="23" xfId="0" applyNumberFormat="1" applyFont="1" applyFill="1" applyBorder="1" applyAlignment="1">
      <x:alignment horizontal="center"/>
    </x:xf>
    <x:xf numFmtId="0" fontId="13" fillId="8" borderId="24" xfId="0" applyNumberFormat="1" applyFont="1" applyFill="1" applyBorder="1" applyAlignment="1">
      <x:alignment horizontal="center"/>
    </x:xf>
    <x:xf numFmtId="0" fontId="13" fillId="8" borderId="19" xfId="0" applyNumberFormat="1" applyFont="1" applyFill="1" applyBorder="1" applyAlignment="1">
      <x:alignment horizontal="center" vertical="center"/>
    </x:xf>
    <x:xf numFmtId="0" fontId="13" fillId="8" borderId="20" xfId="0" applyNumberFormat="1" applyFont="1" applyFill="1" applyBorder="1" applyAlignment="1">
      <x:alignment horizontal="center" vertical="center"/>
    </x:xf>
    <x:xf numFmtId="0" fontId="13" fillId="8" borderId="21" xfId="0" applyNumberFormat="1" applyFont="1" applyFill="1" applyBorder="1" applyAlignment="1">
      <x:alignment horizontal="center" vertical="center"/>
    </x:xf>
    <x:xf numFmtId="0" fontId="13" fillId="8" borderId="22" xfId="0" applyNumberFormat="1" applyFont="1" applyFill="1" applyBorder="1" applyAlignment="1">
      <x:alignment horizontal="center" vertical="center"/>
    </x:xf>
    <x:xf numFmtId="0" fontId="13" fillId="8" borderId="23" xfId="0" applyNumberFormat="1" applyFont="1" applyFill="1" applyBorder="1" applyAlignment="1">
      <x:alignment horizontal="center" vertical="center"/>
    </x:xf>
    <x:xf numFmtId="0" fontId="13" fillId="8" borderId="24" xfId="0" applyNumberFormat="1" applyFont="1" applyFill="1" applyBorder="1" applyAlignment="1">
      <x:alignment horizontal="center" vertical="center"/>
    </x:xf>
    <x:xf numFmtId="0" fontId="14" fillId="8" borderId="19" xfId="0" applyNumberFormat="1" applyFont="1" applyFill="1" applyBorder="1" applyAlignment="1">
      <x:alignment horizontal="center" vertical="center"/>
    </x:xf>
    <x:xf numFmtId="0" fontId="15" fillId="8" borderId="21" xfId="0" applyNumberFormat="1" applyFont="1" applyFill="1" applyBorder="1" applyAlignment="1">
      <x:alignment horizontal="center" vertical="center"/>
    </x:xf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horizontal="center"/>
    </x:xf>
    <x:xf numFmtId="0" fontId="0" fillId="0" borderId="25" xfId="0" applyNumberFormat="1" applyFont="1" applyFill="1" applyBorder="1"/>
    <x:xf numFmtId="0" fontId="0" fillId="0" borderId="26" xfId="0" applyNumberFormat="1" applyFont="1" applyFill="1" applyBorder="1"/>
    <x:xf numFmtId="0" fontId="0" fillId="0" borderId="27" xfId="0" applyNumberFormat="1" applyFont="1" applyFill="1" applyBorder="1"/>
    <x:xf numFmtId="0" fontId="0" fillId="0" borderId="25" xfId="0" applyNumberFormat="1" applyFont="1" applyFill="1" applyBorder="1" applyAlignment="1">
      <x:alignment wrapText="1"/>
    </x:xf>
    <x:xf numFmtId="0" fontId="0" fillId="0" borderId="26" xfId="0" applyNumberFormat="1" applyFont="1" applyFill="1" applyBorder="1" applyAlignment="1">
      <x:alignment wrapText="1"/>
    </x:xf>
    <x:xf numFmtId="0" fontId="0" fillId="0" borderId="27" xfId="0" applyNumberFormat="1" applyFont="1" applyFill="1" applyBorder="1" applyAlignment="1">
      <x:alignment wrapText="1"/>
    </x:xf>
    <x:xf numFmtId="0" fontId="0" fillId="0" borderId="25" xfId="0" applyNumberFormat="1" applyFont="1" applyFill="1" applyBorder="1" applyAlignment="1">
      <x:alignment vertical="center" wrapText="1"/>
    </x:xf>
    <x:xf numFmtId="0" fontId="0" fillId="0" borderId="26" xfId="0" applyNumberFormat="1" applyFont="1" applyFill="1" applyBorder="1" applyAlignment="1">
      <x:alignment vertical="center" wrapText="1"/>
    </x:xf>
    <x:xf numFmtId="0" fontId="0" fillId="0" borderId="27" xfId="0" applyNumberFormat="1" applyFont="1" applyFill="1" applyBorder="1" applyAlignment="1">
      <x:alignment vertical="center" wrapText="1"/>
    </x:xf>
    <x:xf numFmtId="0" fontId="16" fillId="0" borderId="25" xfId="0" applyNumberFormat="1" applyFont="1" applyFill="1" applyBorder="1" applyAlignment="1">
      <x:alignment vertical="center" wrapText="1"/>
    </x:xf>
    <x:xf numFmtId="0" fontId="16" fillId="0" borderId="26" xfId="0" applyNumberFormat="1" applyFont="1" applyFill="1" applyBorder="1" applyAlignment="1">
      <x:alignment vertical="center" wrapText="1"/>
    </x:xf>
    <x:xf numFmtId="0" fontId="16" fillId="0" borderId="27" xfId="0" applyNumberFormat="1" applyFont="1" applyFill="1" applyBorder="1" applyAlignment="1">
      <x:alignment vertical="center" wrapText="1"/>
    </x:xf>
    <x:xf numFmtId="0" fontId="4" fillId="0" borderId="25" xfId="0" applyNumberFormat="1" applyFont="1" applyFill="1" applyBorder="1" applyAlignment="1">
      <x:alignment vertical="center" wrapText="1"/>
    </x:xf>
    <x:xf numFmtId="0" fontId="4" fillId="0" borderId="26" xfId="0" applyNumberFormat="1" applyFont="1" applyFill="1" applyBorder="1" applyAlignment="1">
      <x:alignment vertical="center" wrapText="1"/>
    </x:xf>
    <x:xf numFmtId="0" fontId="4" fillId="0" borderId="27" xfId="0" applyNumberFormat="1" applyFont="1" applyFill="1" applyBorder="1" applyAlignment="1">
      <x:alignment vertical="center" wrapText="1"/>
    </x:xf>
    <x:xf numFmtId="0" fontId="16" fillId="9" borderId="26" xfId="0" applyNumberFormat="1" applyFont="1" applyFill="1" applyBorder="1" applyAlignment="1">
      <x:alignment vertical="center" wrapText="1"/>
    </x:xf>
    <x:xf numFmtId="0" fontId="4" fillId="9" borderId="26" xfId="0" applyNumberFormat="1" applyFont="1" applyFill="1" applyBorder="1" applyAlignment="1">
      <x:alignment vertical="center" wrapText="1"/>
    </x:xf>
    <x:xf numFmtId="0" fontId="0" fillId="9" borderId="26" xfId="0" applyNumberFormat="1" applyFont="1" applyFill="1" applyBorder="1" applyAlignment="1">
      <x:alignment vertical="center" wrapText="1"/>
    </x:xf>
    <x:xf numFmtId="0" fontId="17" fillId="9" borderId="26" xfId="0" applyNumberFormat="1" applyFont="1" applyFill="1" applyBorder="1" applyAlignment="1">
      <x:alignment vertical="center" wrapText="1"/>
    </x:xf>
    <x:xf numFmtId="0" fontId="16" fillId="10" borderId="27" xfId="0" applyNumberFormat="1" applyFont="1" applyFill="1" applyBorder="1" applyAlignment="1">
      <x:alignment vertical="center" wrapText="1"/>
    </x:xf>
    <x:xf numFmtId="0" fontId="4" fillId="10" borderId="27" xfId="0" applyNumberFormat="1" applyFont="1" applyFill="1" applyBorder="1" applyAlignment="1">
      <x:alignment vertical="center" wrapText="1"/>
    </x:xf>
    <x:xf numFmtId="0" fontId="0" fillId="10" borderId="27" xfId="0" applyNumberFormat="1" applyFont="1" applyFill="1" applyBorder="1" applyAlignment="1">
      <x:alignment vertical="center" wrapText="1"/>
    </x:xf>
    <x:xf numFmtId="0" fontId="18" fillId="10" borderId="27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19" fillId="11" borderId="0" xfId="0" applyNumberFormat="1" applyFont="1" applyFill="1" applyBorder="1"/>
    <x:xf numFmtId="0" fontId="19" fillId="11" borderId="0" xfId="0" applyNumberFormat="1" applyFont="1" applyFill="1" applyBorder="1" applyAlignment="1">
      <x:alignment horizontal="center"/>
    </x:xf>
    <x:xf numFmtId="0" fontId="19" fillId="11" borderId="0" xfId="0" applyNumberFormat="1" applyFont="1" applyFill="1" applyBorder="1" applyAlignment="1">
      <x:alignment horizontal="center" vertical="center"/>
    </x:xf>
    <x:xf numFmtId="0" fontId="0" fillId="12" borderId="0" xfId="0" applyNumberFormat="1" applyFont="1" applyFill="1" applyBorder="1"/>
    <x:xf numFmtId="0" fontId="0" fillId="12" borderId="25" xfId="0" applyNumberFormat="1" applyFont="1" applyFill="1" applyBorder="1"/>
    <x:xf numFmtId="0" fontId="0" fillId="12" borderId="26" xfId="0" applyNumberFormat="1" applyFont="1" applyFill="1" applyBorder="1"/>
    <x:xf numFmtId="0" fontId="0" fillId="12" borderId="27" xfId="0" applyNumberFormat="1" applyFont="1" applyFill="1" applyBorder="1"/>
    <x:xf numFmtId="0" fontId="0" fillId="12" borderId="25" xfId="0" applyNumberFormat="1" applyFont="1" applyFill="1" applyBorder="1" applyAlignment="1">
      <x:alignment wrapText="1"/>
    </x:xf>
    <x:xf numFmtId="0" fontId="0" fillId="12" borderId="26" xfId="0" applyNumberFormat="1" applyFont="1" applyFill="1" applyBorder="1" applyAlignment="1">
      <x:alignment wrapText="1"/>
    </x:xf>
    <x:xf numFmtId="0" fontId="0" fillId="12" borderId="27" xfId="0" applyNumberFormat="1" applyFont="1" applyFill="1" applyBorder="1" applyAlignment="1">
      <x:alignment wrapText="1"/>
    </x:xf>
    <x:xf numFmtId="0" fontId="0" fillId="12" borderId="25" xfId="0" applyNumberFormat="1" applyFont="1" applyFill="1" applyBorder="1" applyAlignment="1">
      <x:alignment vertical="center" wrapText="1"/>
    </x:xf>
    <x:xf numFmtId="0" fontId="0" fillId="12" borderId="26" xfId="0" applyNumberFormat="1" applyFont="1" applyFill="1" applyBorder="1" applyAlignment="1">
      <x:alignment vertical="center" wrapText="1"/>
    </x:xf>
    <x:xf numFmtId="0" fontId="0" fillId="12" borderId="27" xfId="0" applyNumberFormat="1" applyFont="1" applyFill="1" applyBorder="1" applyAlignment="1">
      <x:alignment vertical="center" wrapText="1"/>
    </x:xf>
    <x:xf numFmtId="0" fontId="20" fillId="2" borderId="0" xfId="0" applyNumberFormat="1" applyFont="1" applyFill="1" applyBorder="1"/>
    <x:xf numFmtId="0" fontId="20" fillId="2" borderId="0" xfId="0" applyNumberFormat="1" applyFont="1" applyFill="1" applyBorder="1" applyAlignment="1">
      <x:alignment horizontal="left"/>
    </x:xf>
    <x:xf numFmtId="0" fontId="20" fillId="2" borderId="0" xfId="0" applyNumberFormat="1" applyFont="1" applyFill="1" applyBorder="1" applyAlignment="1">
      <x:alignment horizontal="left" vertical="center"/>
    </x:xf>
    <x:xf numFmtId="0" fontId="21" fillId="3" borderId="0" xfId="0" applyNumberFormat="1" applyFont="1" applyFill="1" applyBorder="1"/>
    <x:xf numFmtId="0" fontId="21" fillId="3" borderId="0" xfId="0" applyNumberFormat="1" applyFont="1" applyFill="1" applyBorder="1" applyAlignment="1">
      <x:alignment horizontal="left"/>
    </x:xf>
    <x:xf numFmtId="0" fontId="21" fillId="3" borderId="0" xfId="0" applyNumberFormat="1" applyFont="1" applyFill="1" applyBorder="1" applyAlignment="1">
      <x:alignment horizontal="left" vertical="center"/>
    </x:xf>
    <x:xf numFmtId="0" fontId="22" fillId="5" borderId="0" xfId="0" applyNumberFormat="1" applyFont="1" applyFill="1" applyBorder="1"/>
    <x:xf numFmtId="0" fontId="22" fillId="5" borderId="0" xfId="0" applyNumberFormat="1" applyFont="1" applyFill="1" applyBorder="1" applyAlignment="1">
      <x:alignment vertical="center"/>
    </x:xf>
    <x:xf numFmtId="0" fontId="23" fillId="4" borderId="0" xfId="0" applyNumberFormat="1" applyFont="1" applyFill="1" applyBorder="1"/>
    <x:xf numFmtId="0" fontId="23" fillId="4" borderId="28" xfId="0" applyNumberFormat="1" applyFont="1" applyFill="1" applyBorder="1"/>
    <x:xf numFmtId="0" fontId="23" fillId="4" borderId="29" xfId="0" applyNumberFormat="1" applyFont="1" applyFill="1" applyBorder="1"/>
    <x:xf numFmtId="0" fontId="23" fillId="4" borderId="30" xfId="0" applyNumberFormat="1" applyFont="1" applyFill="1" applyBorder="1"/>
    <x:xf numFmtId="0" fontId="23" fillId="4" borderId="28" xfId="0" applyNumberFormat="1" applyFont="1" applyFill="1" applyBorder="1" applyAlignment="1">
      <x:alignment wrapText="1"/>
    </x:xf>
    <x:xf numFmtId="0" fontId="23" fillId="4" borderId="29" xfId="0" applyNumberFormat="1" applyFont="1" applyFill="1" applyBorder="1" applyAlignment="1">
      <x:alignment wrapText="1"/>
    </x:xf>
    <x:xf numFmtId="0" fontId="23" fillId="4" borderId="30" xfId="0" applyNumberFormat="1" applyFont="1" applyFill="1" applyBorder="1" applyAlignment="1">
      <x:alignment wrapText="1"/>
    </x:xf>
    <x:xf numFmtId="0" fontId="23" fillId="4" borderId="28" xfId="0" applyNumberFormat="1" applyFont="1" applyFill="1" applyBorder="1" applyAlignment="1">
      <x:alignment horizontal="center" wrapText="1"/>
    </x:xf>
    <x:xf numFmtId="0" fontId="23" fillId="4" borderId="29" xfId="0" applyNumberFormat="1" applyFont="1" applyFill="1" applyBorder="1" applyAlignment="1">
      <x:alignment horizontal="center" wrapText="1"/>
    </x:xf>
    <x:xf numFmtId="0" fontId="23" fillId="4" borderId="30" xfId="0" applyNumberFormat="1" applyFont="1" applyFill="1" applyBorder="1" applyAlignment="1">
      <x:alignment horizontal="center" wrapText="1"/>
    </x:xf>
    <x:xf numFmtId="0" fontId="23" fillId="4" borderId="28" xfId="0" applyNumberFormat="1" applyFont="1" applyFill="1" applyBorder="1" applyAlignment="1">
      <x:alignment horizontal="center" vertical="center" wrapText="1"/>
    </x:xf>
    <x:xf numFmtId="0" fontId="23" fillId="4" borderId="29" xfId="0" applyNumberFormat="1" applyFont="1" applyFill="1" applyBorder="1" applyAlignment="1">
      <x:alignment horizontal="center" vertical="center" wrapText="1"/>
    </x:xf>
    <x:xf numFmtId="0" fontId="23" fillId="4" borderId="30" xfId="0" applyNumberFormat="1" applyFont="1" applyFill="1" applyBorder="1" applyAlignment="1">
      <x:alignment horizontal="center" vertical="center" wrapText="1"/>
    </x:xf>
    <x:xf numFmtId="0" fontId="0" fillId="0" borderId="31" xfId="0" applyNumberFormat="1" applyFont="1" applyFill="1" applyBorder="1"/>
    <x:xf numFmtId="0" fontId="0" fillId="0" borderId="32" xfId="0" applyNumberFormat="1" applyFont="1" applyFill="1" applyBorder="1"/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6" xfId="0" applyNumberFormat="1" applyFont="1" applyFill="1" applyBorder="1"/>
    <x:xf numFmtId="0" fontId="0" fillId="0" borderId="37" xfId="0" applyNumberFormat="1" applyFont="1" applyFill="1" applyBorder="1"/>
    <x:xf numFmtId="0" fontId="0" fillId="0" borderId="38" xfId="0" applyNumberFormat="1" applyFont="1" applyFill="1" applyBorder="1"/>
    <x:xf numFmtId="0" fontId="0" fillId="0" borderId="39" xfId="0" applyNumberFormat="1" applyFont="1" applyFill="1" applyBorder="1"/>
    <x:xf numFmtId="0" fontId="0" fillId="0" borderId="31" xfId="0" applyNumberFormat="1" applyFont="1" applyFill="1" applyBorder="1" applyAlignment="1">
      <x:alignment wrapText="1"/>
    </x:xf>
    <x:xf numFmtId="0" fontId="0" fillId="0" borderId="32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wrapText="1"/>
    </x:xf>
    <x:xf numFmtId="0" fontId="0" fillId="0" borderId="34" xfId="0" applyNumberFormat="1" applyFont="1" applyFill="1" applyBorder="1" applyAlignment="1">
      <x:alignment wrapText="1"/>
    </x:xf>
    <x:xf numFmtId="0" fontId="0" fillId="0" borderId="35" xfId="0" applyNumberFormat="1" applyFont="1" applyFill="1" applyBorder="1" applyAlignment="1">
      <x:alignment wrapText="1"/>
    </x:xf>
    <x:xf numFmtId="0" fontId="0" fillId="0" borderId="36" xfId="0" applyNumberFormat="1" applyFont="1" applyFill="1" applyBorder="1" applyAlignment="1">
      <x:alignment wrapText="1"/>
    </x:xf>
    <x:xf numFmtId="0" fontId="0" fillId="0" borderId="37" xfId="0" applyNumberFormat="1" applyFont="1" applyFill="1" applyBorder="1" applyAlignment="1">
      <x:alignment wrapText="1"/>
    </x:xf>
    <x:xf numFmtId="0" fontId="0" fillId="0" borderId="38" xfId="0" applyNumberFormat="1" applyFont="1" applyFill="1" applyBorder="1" applyAlignment="1">
      <x:alignment wrapText="1"/>
    </x:xf>
    <x:xf numFmtId="0" fontId="0" fillId="0" borderId="39" xfId="0" applyNumberFormat="1" applyFont="1" applyFill="1" applyBorder="1" applyAlignment="1">
      <x:alignment wrapText="1"/>
    </x:xf>
    <x:xf numFmtId="0" fontId="0" fillId="0" borderId="31" xfId="0" applyNumberFormat="1" applyFont="1" applyFill="1" applyBorder="1" applyAlignment="1">
      <x:alignment vertical="top" wrapText="1"/>
    </x:xf>
    <x:xf numFmtId="0" fontId="0" fillId="0" borderId="32" xfId="0" applyNumberFormat="1" applyFont="1" applyFill="1" applyBorder="1" applyAlignment="1">
      <x:alignment vertical="top" wrapText="1"/>
    </x:xf>
    <x:xf numFmtId="0" fontId="0" fillId="0" borderId="33" xfId="0" applyNumberFormat="1" applyFont="1" applyFill="1" applyBorder="1" applyAlignment="1">
      <x:alignment vertical="top" wrapText="1"/>
    </x:xf>
    <x:xf numFmtId="0" fontId="0" fillId="0" borderId="34" xfId="0" applyNumberFormat="1" applyFont="1" applyFill="1" applyBorder="1" applyAlignment="1">
      <x:alignment vertical="top" wrapText="1"/>
    </x:xf>
    <x:xf numFmtId="0" fontId="0" fillId="0" borderId="35" xfId="0" applyNumberFormat="1" applyFont="1" applyFill="1" applyBorder="1" applyAlignment="1">
      <x:alignment vertical="top" wrapText="1"/>
    </x:xf>
    <x:xf numFmtId="0" fontId="0" fillId="0" borderId="36" xfId="0" applyNumberFormat="1" applyFont="1" applyFill="1" applyBorder="1" applyAlignment="1">
      <x:alignment vertical="top" wrapText="1"/>
    </x:xf>
    <x:xf numFmtId="0" fontId="0" fillId="0" borderId="37" xfId="0" applyNumberFormat="1" applyFont="1" applyFill="1" applyBorder="1" applyAlignment="1">
      <x:alignment vertical="top" wrapText="1"/>
    </x:xf>
    <x:xf numFmtId="0" fontId="0" fillId="0" borderId="38" xfId="0" applyNumberFormat="1" applyFont="1" applyFill="1" applyBorder="1" applyAlignment="1">
      <x:alignment vertical="top" wrapText="1"/>
    </x:xf>
    <x:xf numFmtId="0" fontId="0" fillId="0" borderId="39" xfId="0" applyNumberFormat="1" applyFont="1" applyFill="1" applyBorder="1" applyAlignment="1">
      <x:alignment vertical="top" wrapText="1"/>
    </x:xf>
    <x:xf numFmtId="0" fontId="16" fillId="0" borderId="31" xfId="0" applyNumberFormat="1" applyFont="1" applyFill="1" applyBorder="1" applyAlignment="1">
      <x:alignment vertical="top" wrapText="1"/>
    </x:xf>
    <x:xf numFmtId="0" fontId="16" fillId="0" borderId="34" xfId="0" applyNumberFormat="1" applyFont="1" applyFill="1" applyBorder="1" applyAlignment="1">
      <x:alignment vertical="top" wrapText="1"/>
    </x:xf>
    <x:xf numFmtId="0" fontId="16" fillId="0" borderId="37" xfId="0" applyNumberFormat="1" applyFont="1" applyFill="1" applyBorder="1" applyAlignment="1">
      <x:alignment vertical="top" wrapText="1"/>
    </x:xf>
    <x:xf numFmtId="0" fontId="0" fillId="0" borderId="32" xfId="0" applyNumberFormat="1" applyFont="1" applyFill="1" applyBorder="1" applyAlignment="1">
      <x:alignment horizontal="center" vertical="top" wrapText="1"/>
    </x:xf>
    <x:xf numFmtId="0" fontId="0" fillId="0" borderId="35" xfId="0" applyNumberFormat="1" applyFont="1" applyFill="1" applyBorder="1" applyAlignment="1">
      <x:alignment horizontal="center" vertical="top" wrapText="1"/>
    </x:xf>
    <x:xf numFmtId="0" fontId="0" fillId="0" borderId="38" xfId="0" applyNumberFormat="1" applyFont="1" applyFill="1" applyBorder="1" applyAlignment="1">
      <x:alignment horizontal="center" vertical="top"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0" borderId="40" xfId="0" applyNumberFormat="1" applyFont="1" applyFill="1" applyBorder="1"/>
    <x:xf numFmtId="0" fontId="0" fillId="0" borderId="41" xfId="0" applyNumberFormat="1" applyFont="1" applyFill="1" applyBorder="1"/>
    <x:xf numFmtId="0" fontId="0" fillId="0" borderId="42" xfId="0" applyNumberFormat="1" applyFont="1" applyFill="1" applyBorder="1"/>
    <x:xf numFmtId="0" fontId="0" fillId="0" borderId="40" xfId="0" applyNumberFormat="1" applyFont="1" applyFill="1" applyBorder="1" applyAlignment="1">
      <x:alignment wrapText="1"/>
    </x:xf>
    <x:xf numFmtId="0" fontId="0" fillId="0" borderId="41" xfId="0" applyNumberFormat="1" applyFont="1" applyFill="1" applyBorder="1" applyAlignment="1">
      <x:alignment wrapText="1"/>
    </x:xf>
    <x:xf numFmtId="0" fontId="0" fillId="0" borderId="42" xfId="0" applyNumberFormat="1" applyFont="1" applyFill="1" applyBorder="1" applyAlignment="1">
      <x:alignment wrapText="1"/>
    </x:xf>
    <x:xf numFmtId="0" fontId="0" fillId="0" borderId="40" xfId="0" applyNumberFormat="1" applyFont="1" applyFill="1" applyBorder="1" applyAlignment="1">
      <x:alignment vertical="top" wrapText="1"/>
    </x:xf>
    <x:xf numFmtId="0" fontId="0" fillId="0" borderId="41" xfId="0" applyNumberFormat="1" applyFont="1" applyFill="1" applyBorder="1" applyAlignment="1">
      <x:alignment vertical="top" wrapText="1"/>
    </x:xf>
    <x:xf numFmtId="0" fontId="0" fillId="0" borderId="42" xfId="0" applyNumberFormat="1" applyFont="1" applyFill="1" applyBorder="1" applyAlignment="1">
      <x:alignment vertical="top" wrapText="1"/>
    </x:xf>
    <x:xf numFmtId="0" fontId="16" fillId="0" borderId="40" xfId="0" applyNumberFormat="1" applyFont="1" applyFill="1" applyBorder="1" applyAlignment="1">
      <x:alignment vertical="top" wrapText="1"/>
    </x:xf>
    <x:xf numFmtId="0" fontId="16" fillId="0" borderId="41" xfId="0" applyNumberFormat="1" applyFont="1" applyFill="1" applyBorder="1" applyAlignment="1">
      <x:alignment vertical="top" wrapText="1"/>
    </x:xf>
    <x:xf numFmtId="0" fontId="16" fillId="0" borderId="42" xfId="0" applyNumberFormat="1" applyFont="1" applyFill="1" applyBorder="1" applyAlignment="1">
      <x:alignment vertical="top" wrapText="1"/>
    </x:xf>
    <x:xf numFmtId="0" fontId="0" fillId="0" borderId="40" xfId="0" applyNumberFormat="1" applyFont="1" applyFill="1" applyBorder="1" applyAlignment="1">
      <x:alignment horizontal="center" vertical="top" wrapText="1"/>
    </x:xf>
    <x:xf numFmtId="0" fontId="0" fillId="0" borderId="41" xfId="0" applyNumberFormat="1" applyFont="1" applyFill="1" applyBorder="1" applyAlignment="1">
      <x:alignment horizontal="center" vertical="top" wrapText="1"/>
    </x:xf>
    <x:xf numFmtId="0" fontId="0" fillId="0" borderId="42" xfId="0" applyNumberFormat="1" applyFont="1" applyFill="1" applyBorder="1" applyAlignment="1">
      <x:alignment horizontal="center" vertical="top" wrapText="1"/>
    </x:xf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4" fillId="0" borderId="40" xfId="0" applyNumberFormat="1" applyFont="1" applyFill="1" applyBorder="1" applyAlignment="1">
      <x:alignment vertical="top" wrapText="1"/>
    </x:xf>
    <x:xf numFmtId="0" fontId="4" fillId="0" borderId="41" xfId="0" applyNumberFormat="1" applyFont="1" applyFill="1" applyBorder="1" applyAlignment="1">
      <x:alignment vertical="top" wrapText="1"/>
    </x:xf>
    <x:xf numFmtId="0" fontId="4" fillId="0" borderId="42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ont>
        <x:b/>
        <x:color rgb="FFDC2626"/>
      </x:font>
      <x:fill>
        <x:patternFill patternType="solid">
          <x:bgColor rgb="FFFEF2F2"/>
        </x:patternFill>
      </x:fill>
    </x:dxf>
    <x:dxf>
      <x:font>
        <x:b/>
        <x:color rgb="FFD97706"/>
      </x:font>
      <x:fill>
        <x:patternFill patternType="solid">
          <x:bgColor rgb="FFFFFBEB"/>
        </x:patternFill>
      </x:fill>
    </x:dxf>
    <x:dxf>
      <x:font>
        <x:b/>
        <x:color rgb="FFDC2626"/>
      </x:font>
      <x:fill>
        <x:patternFill patternType="solid">
          <x:bgColor rgb="FFFEF2F2"/>
        </x:patternFill>
      </x:fill>
    </x:dxf>
    <x:dxf>
      <x:font>
        <x:b/>
        <x:color rgb="FFD97706"/>
      </x:font>
      <x:fill>
        <x:patternFill patternType="solid">
          <x:bgColor rgb="FFFFFBEB"/>
        </x:patternFill>
      </x:fill>
    </x:dxf>
    <x:dxf>
      <x:font>
        <x:b/>
        <x:color rgb="FFDC2626"/>
      </x:font>
      <x:fill>
        <x:patternFill patternType="solid">
          <x:bgColor rgb="FFFEF2F2"/>
        </x:patternFill>
      </x:fill>
    </x:dxf>
    <x:dxf>
      <x:font>
        <x:b/>
        <x:color rgb="FFD97706"/>
      </x:font>
      <x:fill>
        <x:patternFill patternType="solid">
          <x:bgColor rgb="FFFFFBEB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153258241e7468f" /><Relationship Type="http://schemas.openxmlformats.org/officeDocument/2006/relationships/theme" Target="/xl/theme/theme1.xml" Id="R11a00cff811240a0" /><Relationship Type="http://schemas.openxmlformats.org/officeDocument/2006/relationships/sharedStrings" Target="/xl/sharedStrings.xml" Id="Rc6be4f8741d54f56" /><Relationship Type="http://schemas.openxmlformats.org/officeDocument/2006/relationships/worksheet" Target="/xl/worksheets/sheet1.xml" Id="Rc6853ede3eb64a7d" /><Relationship Type="http://schemas.openxmlformats.org/officeDocument/2006/relationships/worksheet" Target="/xl/worksheets/sheet2.xml" Id="Rbbd8a0f3df0d401f" /><Relationship Type="http://schemas.openxmlformats.org/officeDocument/2006/relationships/worksheet" Target="/xl/worksheets/sheet3.xml" Id="Ree47a877868644e4" /><Relationship Type="http://schemas.openxmlformats.org/officeDocument/2006/relationships/worksheet" Target="/xl/worksheets/sheet4.xml" Id="R2203df29fe43431a" /><Relationship Type="http://schemas.openxmlformats.org/officeDocument/2006/relationships/worksheet" Target="/xl/worksheets/sheet5.xml" Id="Rad94e4df061a40e6" /><Relationship Type="http://schemas.openxmlformats.org/officeDocument/2006/relationships/worksheet" Target="/xl/worksheets/sheet6.xml" Id="R6e479c07c49043a7" /><Relationship Type="http://schemas.microsoft.com/office/2017/10/relationships/person" Target="/xl/persons/person.xml" Id="R83bc63485564420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bf4d23d17a3642b8" /></Relationships>
</file>

<file path=xl/drawings/drawing1.xml><?xml version="1.0" encoding="utf-8"?>
<xdr:wsDr xmlns:xdr="http://schemas.openxmlformats.org/drawingml/2006/spreadsheetDrawing">
  <xdr:oneCellAnchor>
    <xdr:from>
      <xdr:col>5</xdr:col>
      <xdr:colOff>95250</xdr:colOff>
      <xdr:row>0</xdr:row>
      <xdr:rowOff>76200</xdr:rowOff>
    </xdr:from>
    <xdr:ext cx="3143250" cy="1047750"/>
    <xdr:pic>
      <xdr:nvPicPr>
        <xdr:cNvPr id="1" name="d59428d7-77c6-44f5-bb10-bee4c03ca59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f4d23d17a3642b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persons/person.xml><?xml version="1.0" encoding="utf-8"?>
<xltc:personList xmlns:xltc="http://schemas.microsoft.com/office/spreadsheetml/2018/threadedcomments">
  <xltc:person displayName="Stephane-OC" id="{2A4675FF-672A-403B-AF64-22755BB4332B}"/>
</xltc:personList>
</file>

<file path=xl/tables/table1.xml><?xml version="1.0" encoding="utf-8"?>
<x:table xmlns:x="http://schemas.openxmlformats.org/spreadsheetml/2006/main" id="1" name="DicoSourceDVF" displayName="DicoSourceDVF" ref="A6:G24" headerRowCount="1" totalsRowCount="0" totalsRowShown="0">
  <x:autoFilter ref="A6:G24"/>
  <x:tableColumns count="7">
    <x:tableColumn id="1" name="CODE"/>
    <x:tableColumn id="2" name="SIGNIFICATION"/>
    <x:tableColumn id="3" name="TYPE"/>
    <x:tableColumn id="4" name="LONGUEUR"/>
    <x:tableColumn id="5" name="NATURE"/>
    <x:tableColumn id="6" name="RÈGLE DE GESTION"/>
    <x:tableColumn id="7" name="RÈGLE DE CALCU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icoSourceGeo" displayName="DicoSourceGeo" ref="A6:G12" headerRowCount="1" totalsRowCount="0" totalsRowShown="0">
  <x:autoFilter ref="A6:G12"/>
  <x:tableColumns count="7">
    <x:tableColumn id="1" name="CODE"/>
    <x:tableColumn id="2" name="SIGNIFICATION"/>
    <x:tableColumn id="3" name="TYPE"/>
    <x:tableColumn id="4" name="LONGUEUR"/>
    <x:tableColumn id="5" name="NATURE"/>
    <x:tableColumn id="6" name="RÈGLE DE GESTION"/>
    <x:tableColumn id="7" name="RÈGLE DE CALCUL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icoSourcePopulation" displayName="DicoSourcePopulation" ref="A6:G11" headerRowCount="1" totalsRowCount="0" totalsRowShown="0">
  <x:autoFilter ref="A6:G11"/>
  <x:tableColumns count="7">
    <x:tableColumn id="1" name="CODE"/>
    <x:tableColumn id="2" name="SIGNIFICATION"/>
    <x:tableColumn id="3" name="TYPE"/>
    <x:tableColumn id="4" name="LONGUEUR"/>
    <x:tableColumn id="5" name="NATURE"/>
    <x:tableColumn id="6" name="RÈGLE DE GESTION"/>
    <x:tableColumn id="7" name="RÈGLE DE CALCUL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icoModeleFinal" displayName="DicoModeleFinal" ref="A6:J39" headerRowCount="1" totalsRowCount="0" totalsRowShown="0">
  <x:autoFilter ref="A6:J39"/>
  <x:tableColumns count="10">
    <x:tableColumn id="1" name="TABLE"/>
    <x:tableColumn id="2" name="CODE"/>
    <x:tableColumn id="3" name="SIGNIFICATION"/>
    <x:tableColumn id="4" name="TYPE DATABRICKS"/>
    <x:tableColumn id="5" name="LONGUEUR"/>
    <x:tableColumn id="6" name="NATURE"/>
    <x:tableColumn id="7" name="CLÉ"/>
    <x:tableColumn id="8" name="SOURCE"/>
    <x:tableColumn id="9" name="RÈGLE DE GESTION"/>
    <x:tableColumn id="10" name="RÈGLE DE CALCUL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LexiqueDico" displayName="LexiqueDico" ref="A6:D17" headerRowCount="1" totalsRowCount="0" totalsRowShown="0">
  <x:tableColumns count="4">
    <x:tableColumn id="1" name="RUBRIQUE / TERME"/>
    <x:tableColumn id="2" name="DÉFINITION"/>
    <x:tableColumn id="3" name="CATÉGORIE"/>
    <x:tableColumn id="4" name="UTILIS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A19" dT="2026-07-18T20:36:14.136" personId="{2A4675FF-672A-403B-AF64-22755BB4332B}" id="{271C787F-20D0-46DA-3042-F8663E80D806}">
    <xltc:text>Source : Valeurs-foncières.xlsx — la colonne Nom de l'acquereur est retirée avant export conformément au principe de minimisation RGPD.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e181b68140bf4754" /><Relationship Type="http://schemas.openxmlformats.org/officeDocument/2006/relationships/vmlDrawing" Target="/xl/drawings/vmldrawing.vml" Id="Ref273f6a9d0448c4" /><Relationship Type="http://schemas.microsoft.com/office/2017/10/relationships/threadedComment" Target="/xl/threadedcomments/threadedcomment.xml" Id="R575bb11d09454bcf" /><Relationship Type="http://schemas.openxmlformats.org/officeDocument/2006/relationships/drawing" Target="/xl/drawings/drawing1.xml" Id="Rc42f9dbc118c4c9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d01eed7052342a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51a814cddc6440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a44422fea5f4bc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2a56742c86f947a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dad520f769d42a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>
      <x:c r="A1" s="4" t="str">
        <x:v>DICTIONNAIRE DES DONNÉES — DATAImmo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3">
      <x:c r="A3" s="4"/>
      <x:c r="B3" s="4"/>
      <x:c r="C3" s="4"/>
      <x:c r="D3" s="4"/>
      <x:c r="E3" s="4"/>
      <x:c r="F3" s="4"/>
      <x:c r="G3" s="4"/>
      <x:c r="H3" s="4"/>
    </x:row>
    <x:row r="4">
      <x:c r="A4" s="4"/>
      <x:c r="B4" s="4"/>
      <x:c r="C4" s="4"/>
      <x:c r="D4" s="4"/>
      <x:c r="E4" s="4"/>
      <x:c r="F4" s="4"/>
      <x:c r="G4" s="4"/>
      <x:c r="H4" s="4"/>
    </x:row>
    <x:row r="5">
      <x:c r="A5" s="7" t="str">
        <x:v>Sources, transformations, règles de gestion et modèle relationnel final 3NF</x:v>
      </x:c>
      <x:c r="B5" s="7"/>
      <x:c r="C5" s="7"/>
      <x:c r="D5" s="7"/>
      <x:c r="E5" s="7"/>
      <x:c r="F5" s="7"/>
      <x:c r="G5" s="7"/>
      <x:c r="H5" s="7"/>
    </x:row>
    <x:row r="7">
      <x:c r="A7" s="9" t="str">
        <x:v>INDICATEURS</x:v>
      </x:c>
      <x:c r="B7" s="9"/>
      <x:c r="C7" s="9"/>
      <x:c r="D7" s="9"/>
      <x:c r="E7" s="9"/>
      <x:c r="F7" s="9"/>
      <x:c r="G7" s="9"/>
      <x:c r="H7" s="9"/>
    </x:row>
    <x:row r="8" ht="26" customHeight="1">
      <x:c r="A8" s="30" t="str">
        <x:v>Variables DVF</x:v>
      </x:c>
      <x:c r="B8" s="25"/>
      <x:c r="C8" s="52" t="str">
        <x:v>Variables géographiques</x:v>
      </x:c>
      <x:c r="D8" s="47"/>
      <x:c r="E8" s="74" t="str">
        <x:v>Variables population</x:v>
      </x:c>
      <x:c r="F8" s="69"/>
      <x:c r="G8" s="96" t="str">
        <x:v>Champs du modèle final</x:v>
      </x:c>
      <x:c r="H8" s="91"/>
    </x:row>
    <x:row r="9" ht="26" customHeight="1">
      <x:c r="A9" s="31" t="n">
        <x:f>COUNTA('Source - DVF'!A7:A40)</x:f>
        <x:v>18</x:v>
      </x:c>
      <x:c r="B9" s="27"/>
      <x:c r="C9" s="53" t="n">
        <x:f>COUNTA('Source - Géographie'!A7:A30)</x:f>
        <x:v>6</x:v>
      </x:c>
      <x:c r="D9" s="49"/>
      <x:c r="E9" s="75" t="n">
        <x:f>COUNTA('Source - Population'!A7:A30)</x:f>
        <x:v>5</x:v>
      </x:c>
      <x:c r="F9" s="71"/>
      <x:c r="G9" s="97" t="n">
        <x:f>COUNTA('Modèle final'!B7:B80)</x:f>
        <x:v>33</x:v>
      </x:c>
      <x:c r="H9" s="93"/>
    </x:row>
    <x:row r="10" ht="26" customHeight="1">
      <x:c r="A10" s="28"/>
      <x:c r="B10" s="29"/>
      <x:c r="C10" s="50"/>
      <x:c r="D10" s="51"/>
      <x:c r="E10" s="72"/>
      <x:c r="F10" s="73"/>
      <x:c r="G10" s="94"/>
      <x:c r="H10" s="95"/>
    </x:row>
    <x:row r="12">
      <x:c r="A12" s="9" t="str">
        <x:v>PÉRIMÈTRE ET DÉCISIONS DE MODÉLISATION</x:v>
      </x:c>
      <x:c r="B12" s="9"/>
      <x:c r="C12" s="9"/>
      <x:c r="D12" s="9"/>
      <x:c r="E12" s="9"/>
      <x:c r="F12" s="9"/>
      <x:c r="G12" s="9"/>
      <x:c r="H12" s="9"/>
    </x:row>
    <x:row r="14" ht="32" customHeight="1">
      <x:c r="A14" s="99" t="str">
        <x:v>Sujet</x:v>
      </x:c>
      <x:c r="B14" s="99"/>
      <x:c r="C14" s="99" t="str">
        <x:v>Décision retenue</x:v>
      </x:c>
      <x:c r="D14" s="99"/>
      <x:c r="E14" s="99"/>
      <x:c r="F14" s="99" t="str">
        <x:v>Justification</x:v>
      </x:c>
      <x:c r="G14" s="99"/>
      <x:c r="H14" s="99"/>
    </x:row>
    <x:row r="15" ht="32" customHeight="1">
      <x:c r="A15" s="109" t="str">
        <x:v>Périmètre temporel</x:v>
      </x:c>
      <x:c r="B15" s="109"/>
      <x:c r="C15" s="112" t="str">
        <x:v>Premier semestre 2020</x:v>
      </x:c>
      <x:c r="D15" s="112"/>
      <x:c r="E15" s="112"/>
      <x:c r="F15" s="106" t="str">
        <x:v>Les ventes sont comprises entre le 02/01/2020 et le 30/06/2020.</x:v>
      </x:c>
      <x:c r="G15" s="106"/>
      <x:c r="H15" s="106"/>
    </x:row>
    <x:row r="16" ht="32" customHeight="1">
      <x:c r="A16" s="110" t="str">
        <x:v>Types de biens</x:v>
      </x:c>
      <x:c r="B16" s="110"/>
      <x:c r="C16" s="113" t="str">
        <x:v>Maisons et appartements</x:v>
      </x:c>
      <x:c r="D16" s="113"/>
      <x:c r="E16" s="113"/>
      <x:c r="F16" s="107" t="str">
        <x:v>Les analyses métier portent sur ces deux catégories.</x:v>
      </x:c>
      <x:c r="G16" s="107"/>
      <x:c r="H16" s="107"/>
    </x:row>
    <x:row r="17" ht="32" customHeight="1">
      <x:c r="A17" s="110" t="str">
        <x:v>Modèle relationnel</x:v>
      </x:c>
      <x:c r="B17" s="110"/>
      <x:c r="C17" s="113" t="str">
        <x:v>7 tables en 3NF</x:v>
      </x:c>
      <x:c r="D17" s="113"/>
      <x:c r="E17" s="113"/>
      <x:c r="F17" s="107" t="str">
        <x:v>Séparation des référentiels, des biens, des ventes et des populations.</x:v>
      </x:c>
      <x:c r="G17" s="107"/>
      <x:c r="H17" s="107"/>
    </x:row>
    <x:row r="18" ht="32" customHeight="1">
      <x:c r="A18" s="110" t="str">
        <x:v>Codes géographiques</x:v>
      </x:c>
      <x:c r="B18" s="110"/>
      <x:c r="C18" s="113" t="str">
        <x:v>Stockage en STRING</x:v>
      </x:c>
      <x:c r="D18" s="113"/>
      <x:c r="E18" s="113"/>
      <x:c r="F18" s="107" t="str">
        <x:v>Préservation des zéros initiaux et des codes alphanumériques.</x:v>
      </x:c>
      <x:c r="G18" s="107"/>
      <x:c r="H18" s="107"/>
    </x:row>
    <x:row r="19" ht="32" customHeight="1">
      <x:c r="A19" s="115" t="str">
        <x:v>Contraintes Databricks</x:v>
      </x:c>
      <x:c r="B19" s="115"/>
      <x:c r="C19" s="118" t="str">
        <x:v>7 PK et 6 FK NOT ENFORCED</x:v>
      </x:c>
      <x:c r="D19" s="118"/>
      <x:c r="E19" s="118"/>
      <x:c r="F19" s="117" t="str">
        <x:v>Les contrôles SQL garantissent l'unicité et l'absence d'orphelins.</x:v>
      </x:c>
      <x:c r="G19" s="117"/>
      <x:c r="H19" s="117"/>
    </x:row>
    <x:row r="20" ht="32" customHeight="1">
      <x:c r="A20" s="122" t="str">
        <x:v>Donnée acquéreur</x:v>
      </x:c>
      <x:c r="B20" s="122"/>
      <x:c r="C20" s="122" t="str">
        <x:v>Exclue avant export</x:v>
      </x:c>
      <x:c r="D20" s="122"/>
      <x:c r="E20" s="122"/>
      <x:c r="F20" s="122" t="str">
        <x:v>Application du principe RGPD de minimisation des données.</x:v>
      </x:c>
      <x:c r="G20" s="122"/>
      <x:c r="H20" s="122"/>
    </x:row>
    <x:row r="22">
      <x:c r="A22" s="9" t="str">
        <x:v>MODE D'EMPLOI</x:v>
      </x:c>
      <x:c r="B22" s="9"/>
      <x:c r="C22" s="9"/>
      <x:c r="D22" s="9"/>
      <x:c r="E22" s="9"/>
      <x:c r="F22" s="9"/>
      <x:c r="G22" s="9"/>
      <x:c r="H22" s="9"/>
    </x:row>
    <x:row r="24" ht="28" customHeight="1">
      <x:c r="A24" s="126" t="str">
        <x:v>1</x:v>
      </x:c>
      <x:c r="B24" s="134" t="str">
        <x:v>Consulter les trois onglets Source pour comprendre les variables retenues.</x:v>
      </x:c>
      <x:c r="C24" s="134"/>
      <x:c r="D24" s="134"/>
      <x:c r="E24" s="134"/>
      <x:c r="F24" s="134"/>
      <x:c r="G24" s="134"/>
      <x:c r="H24" s="134"/>
    </x:row>
    <x:row r="25" ht="28" customHeight="1">
      <x:c r="A25" s="126" t="str">
        <x:v>2</x:v>
      </x:c>
      <x:c r="B25" s="135" t="str">
        <x:v>Utiliser l'onglet Modèle final pour justifier les types Databricks, les clés et les transformations.</x:v>
      </x:c>
      <x:c r="C25" s="135"/>
      <x:c r="D25" s="135"/>
      <x:c r="E25" s="135"/>
      <x:c r="F25" s="135"/>
      <x:c r="G25" s="135"/>
      <x:c r="H25" s="135"/>
    </x:row>
    <x:row r="26" ht="28" customHeight="1">
      <x:c r="A26" s="126" t="str">
        <x:v>3</x:v>
      </x:c>
      <x:c r="B26" s="135" t="str">
        <x:v>Se référer au Lexique pour interpréter chaque colonne du dictionnaire.</x:v>
      </x:c>
      <x:c r="C26" s="135"/>
      <x:c r="D26" s="135"/>
      <x:c r="E26" s="135"/>
      <x:c r="F26" s="135"/>
      <x:c r="G26" s="135"/>
      <x:c r="H26" s="135"/>
    </x:row>
    <x:row r="27" ht="28" customHeight="1">
      <x:c r="A27" s="126" t="str">
        <x:v>4</x:v>
      </x:c>
      <x:c r="B27" s="136" t="str">
        <x:v>Les lignes rouges signalent les données personnelles exclues au titre du RGPD.</x:v>
      </x:c>
      <x:c r="C27" s="136"/>
      <x:c r="D27" s="136"/>
      <x:c r="E27" s="136"/>
      <x:c r="F27" s="136"/>
      <x:c r="G27" s="136"/>
      <x:c r="H27" s="136"/>
    </x:row>
  </x:sheetData>
  <x:mergeCells>
    <x:mergeCell ref="A1:H4"/>
    <x:mergeCell ref="A5:H5"/>
    <x:mergeCell ref="A7:H7"/>
    <x:mergeCell ref="A8:B8"/>
    <x:mergeCell ref="A9:B10"/>
    <x:mergeCell ref="C8:D8"/>
    <x:mergeCell ref="C9:D10"/>
    <x:mergeCell ref="E8:F8"/>
    <x:mergeCell ref="E9:F10"/>
    <x:mergeCell ref="G8:H8"/>
    <x:mergeCell ref="G9:H10"/>
    <x:mergeCell ref="A12:H12"/>
    <x:mergeCell ref="A14:B14"/>
    <x:mergeCell ref="C14:E14"/>
    <x:mergeCell ref="F14:H14"/>
    <x:mergeCell ref="A15:B15"/>
    <x:mergeCell ref="C15:E15"/>
    <x:mergeCell ref="F15:H15"/>
    <x:mergeCell ref="A16:B16"/>
    <x:mergeCell ref="C16:E16"/>
    <x:mergeCell ref="F16:H16"/>
    <x:mergeCell ref="A17:B17"/>
    <x:mergeCell ref="C17:E17"/>
    <x:mergeCell ref="F17:H17"/>
    <x:mergeCell ref="A18:B18"/>
    <x:mergeCell ref="C18:E18"/>
    <x:mergeCell ref="F18:H18"/>
    <x:mergeCell ref="A19:B19"/>
    <x:mergeCell ref="C19:E19"/>
    <x:mergeCell ref="F19:H19"/>
    <x:mergeCell ref="A20:B20"/>
    <x:mergeCell ref="C20:E20"/>
    <x:mergeCell ref="F20:H20"/>
    <x:mergeCell ref="A22:H22"/>
    <x:mergeCell ref="B24:H24"/>
    <x:mergeCell ref="B25:H25"/>
    <x:mergeCell ref="B26:H26"/>
    <x:mergeCell ref="B27:H27"/>
  </x:mergeCells>
  <x:pageMargins left="0.7" right="0.7" top="0.75" bottom="0.75" header="0.3" footer="0.3"/>
  <x:drawing xmlns:r="http://schemas.openxmlformats.org/officeDocument/2006/relationships" r:id="Rc42f9dbc118c4c9d"/>
  <x:legacyDrawing xmlns:r="http://schemas.openxmlformats.org/officeDocument/2006/relationships" r:id="Ref273f6a9d0448c4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42" hidden="0" customWidth="1"/>
    <x:col min="3" max="3" width="17" hidden="0" customWidth="1"/>
    <x:col min="4" max="4" width="13" hidden="0" customWidth="1"/>
    <x:col min="5" max="5" width="18" hidden="0" customWidth="1"/>
    <x:col min="6" max="6" width="55" hidden="0" customWidth="1"/>
    <x:col min="7" max="7" width="55" hidden="0" customWidth="1"/>
  </x:cols>
  <x:sheetData>
    <x:row r="1" ht="28" customHeight="1">
      <x:c r="A1" s="139" t="str">
        <x:v>DICTIONNAIRE SOURCE — VALEURS FONCIÈRES</x:v>
      </x:c>
      <x:c r="B1" s="139"/>
      <x:c r="C1" s="139"/>
      <x:c r="D1" s="139"/>
      <x:c r="E1" s="139"/>
      <x:c r="F1" s="139"/>
      <x:c r="G1" s="139"/>
    </x:row>
    <x:row r="2" ht="18" customHeight="1">
      <x:c r="A2" s="139"/>
      <x:c r="B2" s="139"/>
      <x:c r="C2" s="139"/>
      <x:c r="D2" s="139"/>
      <x:c r="E2" s="139"/>
      <x:c r="F2" s="139"/>
      <x:c r="G2" s="139"/>
    </x:row>
    <x:row r="3" ht="24" customHeight="1">
      <x:c r="A3" s="142" t="str">
        <x:v>Source : data/raw/Valeurs-foncières.xlsx • Variables retenues pour le modèle final</x:v>
      </x:c>
      <x:c r="B3" s="142"/>
      <x:c r="C3" s="142"/>
      <x:c r="D3" s="142"/>
      <x:c r="E3" s="142"/>
      <x:c r="F3" s="142"/>
      <x:c r="G3" s="142"/>
    </x:row>
    <x:row r="4">
      <x:c r="A4" s="144" t="str">
        <x:v>18 variables documentées • Les longueurs indiquent la capacité cible ou la longueur utile maximale.</x:v>
      </x:c>
      <x:c r="B4" s="144"/>
      <x:c r="C4" s="144"/>
      <x:c r="D4" s="144"/>
      <x:c r="E4" s="144"/>
      <x:c r="F4" s="144"/>
      <x:c r="G4" s="144"/>
    </x:row>
    <x:row r="6" ht="34" customHeight="1">
      <x:c r="A6" s="155" t="str">
        <x:v>CODE</x:v>
      </x:c>
      <x:c r="B6" s="156" t="str">
        <x:v>SIGNIFICATION</x:v>
      </x:c>
      <x:c r="C6" s="156" t="str">
        <x:v>TYPE</x:v>
      </x:c>
      <x:c r="D6" s="156" t="str">
        <x:v>LONGUEUR</x:v>
      </x:c>
      <x:c r="E6" s="156" t="str">
        <x:v>NATURE</x:v>
      </x:c>
      <x:c r="F6" s="156" t="str">
        <x:v>RÈGLE DE GESTION</x:v>
      </x:c>
      <x:c r="G6" s="157" t="str">
        <x:v>RÈGLE DE CALCUL</x:v>
      </x:c>
    </x:row>
    <x:row r="7" ht="48" customHeight="1">
      <x:c r="A7" s="185" t="str">
        <x:v>No disposition</x:v>
      </x:c>
      <x:c r="B7" s="177" t="str">
        <x:v>Numéro de la disposition au sein de la mutation</x:v>
      </x:c>
      <x:c r="C7" s="188" t="str">
        <x:v>INTEGER</x:v>
      </x:c>
      <x:c r="D7" s="188" t="str">
        <x:v>1</x:v>
      </x:c>
      <x:c r="E7" s="188" t="str">
        <x:v>Élémentaire</x:v>
      </x:c>
      <x:c r="F7" s="177" t="str">
        <x:v>Obligatoire ; entier strictement positif.</x:v>
      </x:c>
      <x:c r="G7" s="178" t="str">
        <x:v>Import direct vers vente.numero_disposition.</x:v>
      </x:c>
    </x:row>
    <x:row r="8" ht="48" customHeight="1">
      <x:c r="A8" s="186" t="str">
        <x:v>Date mutation</x:v>
      </x:c>
      <x:c r="B8" s="180" t="str">
        <x:v>Date de signature de la transaction</x:v>
      </x:c>
      <x:c r="C8" s="189" t="str">
        <x:v>DATE</x:v>
      </x:c>
      <x:c r="D8" s="189" t="str">
        <x:v>10</x:v>
      </x:c>
      <x:c r="E8" s="189" t="str">
        <x:v>Élémentaire</x:v>
      </x:c>
      <x:c r="F8" s="180" t="str">
        <x:v>Obligatoire ; format cible AAAA-MM-JJ ; comprise entre le 01/01/2020 et le 30/06/2020.</x:v>
      </x:c>
      <x:c r="G8" s="181" t="str">
        <x:v>Conversion de la date Excel au format ISO AAAA-MM-JJ.</x:v>
      </x:c>
    </x:row>
    <x:row r="9" ht="48" customHeight="1">
      <x:c r="A9" s="186" t="str">
        <x:v>Nature mutation</x:v>
      </x:c>
      <x:c r="B9" s="180" t="str">
        <x:v>Nature juridique de la mutation</x:v>
      </x:c>
      <x:c r="C9" s="189" t="str">
        <x:v>VARCHAR</x:v>
      </x:c>
      <x:c r="D9" s="189" t="str">
        <x:v>5</x:v>
      </x:c>
      <x:c r="E9" s="189" t="str">
        <x:v>Élémentaire</x:v>
      </x:c>
      <x:c r="F9" s="180" t="str">
        <x:v>Obligatoire ; valeur attendue dans le périmètre : Vente.</x:v>
      </x:c>
      <x:c r="G9" s="181" t="str">
        <x:v>Normalisation du texte puis import vers vente.nature_mutation.</x:v>
      </x:c>
    </x:row>
    <x:row r="10" ht="48" customHeight="1">
      <x:c r="A10" s="186" t="str">
        <x:v>Valeur fonciere</x:v>
      </x:c>
      <x:c r="B10" s="180" t="str">
        <x:v>Montant déclaré de la transaction immobilière</x:v>
      </x:c>
      <x:c r="C10" s="189" t="str">
        <x:v>DECIMAL</x:v>
      </x:c>
      <x:c r="D10" s="189" t="str">
        <x:v>14,2</x:v>
      </x:c>
      <x:c r="E10" s="189" t="str">
        <x:v>Élémentaire</x:v>
      </x:c>
      <x:c r="F10" s="180" t="str">
        <x:v>Valeur positive ou nulle ; champ nullable lorsque la source est absente.</x:v>
      </x:c>
      <x:c r="G10" s="181" t="str">
        <x:v>Conversion en nombre décimal vers vente.valeur_fonciere.</x:v>
      </x:c>
    </x:row>
    <x:row r="11" ht="48" customHeight="1">
      <x:c r="A11" s="186" t="str">
        <x:v>No voie</x:v>
      </x:c>
      <x:c r="B11" s="180" t="str">
        <x:v>Numéro dans la voie</x:v>
      </x:c>
      <x:c r="C11" s="189" t="str">
        <x:v>INTEGER</x:v>
      </x:c>
      <x:c r="D11" s="189" t="str">
        <x:v>4</x:v>
      </x:c>
      <x:c r="E11" s="189" t="str">
        <x:v>Élémentaire</x:v>
      </x:c>
      <x:c r="F11" s="180" t="str">
        <x:v>Nullable ; entier positif lorsqu'il est renseigné.</x:v>
      </x:c>
      <x:c r="G11" s="181" t="str">
        <x:v>Conversion en entier vers bien.numero_voie.</x:v>
      </x:c>
    </x:row>
    <x:row r="12" ht="48" customHeight="1">
      <x:c r="A12" s="186" t="str">
        <x:v>B/T/Q</x:v>
      </x:c>
      <x:c r="B12" s="180" t="str">
        <x:v>Indice de répétition du numéro de voie (bis, ter, quater)</x:v>
      </x:c>
      <x:c r="C12" s="189" t="str">
        <x:v>VARCHAR</x:v>
      </x:c>
      <x:c r="D12" s="189" t="str">
        <x:v>1</x:v>
      </x:c>
      <x:c r="E12" s="189" t="str">
        <x:v>Élémentaire</x:v>
      </x:c>
      <x:c r="F12" s="180" t="str">
        <x:v>Nullable ; une lettre au maximum.</x:v>
      </x:c>
      <x:c r="G12" s="181" t="str">
        <x:v>Nettoyage des espaces puis import vers bien.btq.</x:v>
      </x:c>
    </x:row>
    <x:row r="13" ht="48" customHeight="1">
      <x:c r="A13" s="186" t="str">
        <x:v>Type de voie</x:v>
      </x:c>
      <x:c r="B13" s="180" t="str">
        <x:v>Abréviation du type de voie</x:v>
      </x:c>
      <x:c r="C13" s="189" t="str">
        <x:v>VARCHAR</x:v>
      </x:c>
      <x:c r="D13" s="189" t="str">
        <x:v>4</x:v>
      </x:c>
      <x:c r="E13" s="189" t="str">
        <x:v>Élémentaire</x:v>
      </x:c>
      <x:c r="F13" s="180" t="str">
        <x:v>Nullable ; exemple : RUE, BD, RTE, AV.</x:v>
      </x:c>
      <x:c r="G13" s="181" t="str">
        <x:v>Nettoyage du texte vers bien.type_voie.</x:v>
      </x:c>
    </x:row>
    <x:row r="14" ht="48" customHeight="1">
      <x:c r="A14" s="186" t="str">
        <x:v>Voie</x:v>
      </x:c>
      <x:c r="B14" s="180" t="str">
        <x:v>Libellé de la voie</x:v>
      </x:c>
      <x:c r="C14" s="189" t="str">
        <x:v>VARCHAR</x:v>
      </x:c>
      <x:c r="D14" s="189" t="str">
        <x:v>120</x:v>
      </x:c>
      <x:c r="E14" s="189" t="str">
        <x:v>Élémentaire</x:v>
      </x:c>
      <x:c r="F14" s="180" t="str">
        <x:v>Nullable ; texte nettoyé sans modification sémantique.</x:v>
      </x:c>
      <x:c r="G14" s="181" t="str">
        <x:v>Nettoyage des espaces vers bien.voie.</x:v>
      </x:c>
    </x:row>
    <x:row r="15" ht="48" customHeight="1">
      <x:c r="A15" s="186" t="str">
        <x:v>Code postal</x:v>
      </x:c>
      <x:c r="B15" s="180" t="str">
        <x:v>Code postal du bien</x:v>
      </x:c>
      <x:c r="C15" s="189" t="str">
        <x:v>VARCHAR</x:v>
      </x:c>
      <x:c r="D15" s="189" t="str">
        <x:v>5</x:v>
      </x:c>
      <x:c r="E15" s="189" t="str">
        <x:v>Élémentaire</x:v>
      </x:c>
      <x:c r="F15" s="180" t="str">
        <x:v>Conserver sous forme de texte et compléter les zéros initiaux ; nullable.</x:v>
      </x:c>
      <x:c r="G15" s="181" t="str">
        <x:v>LPAD(Code postal, 5, '0') vers bien.code_postal.</x:v>
      </x:c>
    </x:row>
    <x:row r="16" ht="48" customHeight="1">
      <x:c r="A16" s="186" t="str">
        <x:v>Code departement</x:v>
      </x:c>
      <x:c r="B16" s="180" t="str">
        <x:v>Code officiel du département du bien</x:v>
      </x:c>
      <x:c r="C16" s="189" t="str">
        <x:v>VARCHAR</x:v>
      </x:c>
      <x:c r="D16" s="189" t="str">
        <x:v>3</x:v>
      </x:c>
      <x:c r="E16" s="189" t="str">
        <x:v>Élémentaire</x:v>
      </x:c>
      <x:c r="F16" s="180" t="str">
        <x:v>Obligatoire ; texte de 2 à 3 caractères ; les zéros initiaux sont conservés.</x:v>
      </x:c>
      <x:c r="G16" s="181" t="str">
        <x:v>Harmonisation sur 2 caractères numériques, sans altérer 2A/2B et les codes ultramarins.</x:v>
      </x:c>
    </x:row>
    <x:row r="17" ht="48" customHeight="1">
      <x:c r="A17" s="186" t="str">
        <x:v>Code commune</x:v>
      </x:c>
      <x:c r="B17" s="180" t="str">
        <x:v>Code de la commune dans le département</x:v>
      </x:c>
      <x:c r="C17" s="189" t="str">
        <x:v>VARCHAR</x:v>
      </x:c>
      <x:c r="D17" s="189" t="str">
        <x:v>3</x:v>
      </x:c>
      <x:c r="E17" s="189" t="str">
        <x:v>Élémentaire</x:v>
      </x:c>
      <x:c r="F17" s="180" t="str">
        <x:v>Obligatoire ; conserver les zéros initiaux.</x:v>
      </x:c>
      <x:c r="G17" s="181" t="str">
        <x:v>LPAD(Code commune, 3, '0') ; utilisé avec Code departement pour construire id_commune.</x:v>
      </x:c>
    </x:row>
    <x:row r="18" ht="48" customHeight="1">
      <x:c r="A18" s="186" t="str">
        <x:v>Surface Carrez du 1er lot</x:v>
      </x:c>
      <x:c r="B18" s="180" t="str">
        <x:v>Surface privative du premier lot</x:v>
      </x:c>
      <x:c r="C18" s="189" t="str">
        <x:v>DECIMAL</x:v>
      </x:c>
      <x:c r="D18" s="189" t="str">
        <x:v>10,2</x:v>
      </x:c>
      <x:c r="E18" s="189" t="str">
        <x:v>Élémentaire</x:v>
      </x:c>
      <x:c r="F18" s="180" t="str">
        <x:v>Valeur positive ou nulle ; exprimée en m².</x:v>
      </x:c>
      <x:c r="G18" s="181" t="str">
        <x:v>Conversion décimale vers bien.surface_carrez.</x:v>
      </x:c>
    </x:row>
    <x:row r="19" ht="48" customHeight="1">
      <x:c r="A19" s="186" t="str">
        <x:v>Nombre de lots</x:v>
      </x:c>
      <x:c r="B19" s="180" t="str">
        <x:v>Nombre total de lots associés à la mutation</x:v>
      </x:c>
      <x:c r="C19" s="189" t="str">
        <x:v>INTEGER</x:v>
      </x:c>
      <x:c r="D19" s="189" t="str">
        <x:v>2</x:v>
      </x:c>
      <x:c r="E19" s="189" t="str">
        <x:v>Élémentaire</x:v>
      </x:c>
      <x:c r="F19" s="180" t="str">
        <x:v>Entier supérieur ou égal à 0.</x:v>
      </x:c>
      <x:c r="G19" s="181" t="str">
        <x:v>Conversion en entier vers vente.nombre_lots.</x:v>
      </x:c>
    </x:row>
    <x:row r="20" ht="48" customHeight="1">
      <x:c r="A20" s="186" t="str">
        <x:v>Code type local</x:v>
      </x:c>
      <x:c r="B20" s="180" t="str">
        <x:v>Code du type de bien immobilier</x:v>
      </x:c>
      <x:c r="C20" s="189" t="str">
        <x:v>INTEGER</x:v>
      </x:c>
      <x:c r="D20" s="189" t="str">
        <x:v>1</x:v>
      </x:c>
      <x:c r="E20" s="189" t="str">
        <x:v>Élémentaire</x:v>
      </x:c>
      <x:c r="F20" s="180" t="str">
        <x:v>Obligatoire ; valeurs conservées : 1 = Maison, 2 = Appartement.</x:v>
      </x:c>
      <x:c r="G20" s="181" t="str">
        <x:v>Import vers bien.code_type_local et déduplication dans type_local.</x:v>
      </x:c>
    </x:row>
    <x:row r="21" ht="48" customHeight="1">
      <x:c r="A21" s="186" t="str">
        <x:v>Type local</x:v>
      </x:c>
      <x:c r="B21" s="180" t="str">
        <x:v>Libellé du type de bien immobilier</x:v>
      </x:c>
      <x:c r="C21" s="189" t="str">
        <x:v>VARCHAR</x:v>
      </x:c>
      <x:c r="D21" s="189" t="str">
        <x:v>11</x:v>
      </x:c>
      <x:c r="E21" s="189" t="str">
        <x:v>Élémentaire</x:v>
      </x:c>
      <x:c r="F21" s="180" t="str">
        <x:v>Obligatoire ; valeurs attendues : Maison ou Appartement.</x:v>
      </x:c>
      <x:c r="G21" s="181" t="str">
        <x:v>Déduplication du couple Code type local / Type local pour créer type_local.</x:v>
      </x:c>
    </x:row>
    <x:row r="22" ht="48" customHeight="1">
      <x:c r="A22" s="186" t="str">
        <x:v>Surface reelle bati</x:v>
      </x:c>
      <x:c r="B22" s="180" t="str">
        <x:v>Surface réelle bâtie du bien</x:v>
      </x:c>
      <x:c r="C22" s="189" t="str">
        <x:v>DECIMAL</x:v>
      </x:c>
      <x:c r="D22" s="189" t="str">
        <x:v>10,2</x:v>
      </x:c>
      <x:c r="E22" s="189" t="str">
        <x:v>Élémentaire</x:v>
      </x:c>
      <x:c r="F22" s="180" t="str">
        <x:v>Obligatoire dans le périmètre ; strictement positive ; exprimée en m².</x:v>
      </x:c>
      <x:c r="G22" s="181" t="str">
        <x:v>Conversion décimale vers bien.surface_reelle_bati.</x:v>
      </x:c>
    </x:row>
    <x:row r="23" ht="48" customHeight="1">
      <x:c r="A23" s="186" t="str">
        <x:v>Nombre pieces principales</x:v>
      </x:c>
      <x:c r="B23" s="180" t="str">
        <x:v>Nombre de pièces principales du bien</x:v>
      </x:c>
      <x:c r="C23" s="189" t="str">
        <x:v>INTEGER</x:v>
      </x:c>
      <x:c r="D23" s="189" t="str">
        <x:v>2</x:v>
      </x:c>
      <x:c r="E23" s="189" t="str">
        <x:v>Élémentaire</x:v>
      </x:c>
      <x:c r="F23" s="180" t="str">
        <x:v>Obligatoire ; entier supérieur ou égal à 0.</x:v>
      </x:c>
      <x:c r="G23" s="181" t="str">
        <x:v>Conversion en entier vers bien.nombre_pieces_principales.</x:v>
      </x:c>
    </x:row>
    <x:row r="24" ht="48" customHeight="1">
      <x:c r="A24" s="187" t="str">
        <x:v>Nom de l'acquereur</x:v>
      </x:c>
      <x:c r="B24" s="183" t="str">
        <x:v>Nom de l'acquéreur présent dans la source DVF</x:v>
      </x:c>
      <x:c r="C24" s="190" t="str">
        <x:v>VARCHAR</x:v>
      </x:c>
      <x:c r="D24" s="190" t="str">
        <x:v>17</x:v>
      </x:c>
      <x:c r="E24" s="190" t="str">
        <x:v>Exclue (RGPD)</x:v>
      </x:c>
      <x:c r="F24" s="183" t="str">
        <x:v>Donnée personnelle non nécessaire : interdite dans les CSV clean et dans Databricks.</x:v>
      </x:c>
      <x:c r="G24" s="184" t="str">
        <x:v>Suppression avant tout export et avant tout hébergement en ligne.</x:v>
      </x:c>
    </x:row>
  </x:sheetData>
  <x:mergeCells>
    <x:mergeCell ref="A1:G2"/>
    <x:mergeCell ref="A3:G3"/>
    <x:mergeCell ref="A4:G4"/>
  </x:mergeCells>
  <x:conditionalFormatting sqref="E7:E24">
    <x:cfRule type="containsText" dxfId="0" priority="1" operator="containsText" text="Exclue"/>
    <x:cfRule type="containsText" dxfId="1" priority="2" operator="containsText" text="Calculée"/>
  </x:conditionalFormatting>
  <x:pageMargins left="0.7" right="0.7" top="0.75" bottom="0.75" header="0.3" footer="0.3"/>
  <x:tableParts count="1">
    <x:tablePart xmlns:r="http://schemas.openxmlformats.org/officeDocument/2006/relationships" r:id="Rdd01eed7052342a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42" hidden="0" customWidth="1"/>
    <x:col min="3" max="3" width="17" hidden="0" customWidth="1"/>
    <x:col min="4" max="4" width="13" hidden="0" customWidth="1"/>
    <x:col min="5" max="5" width="18" hidden="0" customWidth="1"/>
    <x:col min="6" max="6" width="55" hidden="0" customWidth="1"/>
    <x:col min="7" max="7" width="55" hidden="0" customWidth="1"/>
  </x:cols>
  <x:sheetData>
    <x:row r="1" ht="28" customHeight="1">
      <x:c r="A1" s="139" t="str">
        <x:v>DICTIONNAIRE SOURCE — RÉFÉRENTIEL GÉOGRAPHIQUE</x:v>
      </x:c>
      <x:c r="B1" s="139"/>
      <x:c r="C1" s="139"/>
      <x:c r="D1" s="139"/>
      <x:c r="E1" s="139"/>
      <x:c r="F1" s="139"/>
      <x:c r="G1" s="139"/>
    </x:row>
    <x:row r="2" ht="18" customHeight="1">
      <x:c r="A2" s="139"/>
      <x:c r="B2" s="139"/>
      <x:c r="C2" s="139"/>
      <x:c r="D2" s="139"/>
      <x:c r="E2" s="139"/>
      <x:c r="F2" s="139"/>
      <x:c r="G2" s="139"/>
    </x:row>
    <x:row r="3" ht="24" customHeight="1">
      <x:c r="A3" s="142" t="str">
        <x:v>Source : data/raw/fr-esr-referentiel-geographique.xlsx • Variables retenues pour le modèle final</x:v>
      </x:c>
      <x:c r="B3" s="142"/>
      <x:c r="C3" s="142"/>
      <x:c r="D3" s="142"/>
      <x:c r="E3" s="142"/>
      <x:c r="F3" s="142"/>
      <x:c r="G3" s="142"/>
    </x:row>
    <x:row r="4">
      <x:c r="A4" s="144" t="str">
        <x:v>6 variables documentées • Les longueurs indiquent la capacité cible ou la longueur utile maximale.</x:v>
      </x:c>
      <x:c r="B4" s="144"/>
      <x:c r="C4" s="144"/>
      <x:c r="D4" s="144"/>
      <x:c r="E4" s="144"/>
      <x:c r="F4" s="144"/>
      <x:c r="G4" s="144"/>
    </x:row>
    <x:row r="6" ht="34" customHeight="1">
      <x:c r="A6" s="155" t="str">
        <x:v>CODE</x:v>
      </x:c>
      <x:c r="B6" s="156" t="str">
        <x:v>SIGNIFICATION</x:v>
      </x:c>
      <x:c r="C6" s="156" t="str">
        <x:v>TYPE</x:v>
      </x:c>
      <x:c r="D6" s="156" t="str">
        <x:v>LONGUEUR</x:v>
      </x:c>
      <x:c r="E6" s="156" t="str">
        <x:v>NATURE</x:v>
      </x:c>
      <x:c r="F6" s="156" t="str">
        <x:v>RÈGLE DE GESTION</x:v>
      </x:c>
      <x:c r="G6" s="157" t="str">
        <x:v>RÈGLE DE CALCUL</x:v>
      </x:c>
    </x:row>
    <x:row r="7" ht="48" customHeight="1">
      <x:c r="A7" s="185" t="str">
        <x:v>reg_code</x:v>
      </x:c>
      <x:c r="B7" s="177" t="str">
        <x:v>Code officiel de la région</x:v>
      </x:c>
      <x:c r="C7" s="188" t="str">
        <x:v>VARCHAR</x:v>
      </x:c>
      <x:c r="D7" s="188" t="str">
        <x:v>2</x:v>
      </x:c>
      <x:c r="E7" s="188" t="str">
        <x:v>Élémentaire</x:v>
      </x:c>
      <x:c r="F7" s="177" t="str">
        <x:v>Obligatoire ; unique après déduplication ; conserver sous forme de texte.</x:v>
      </x:c>
      <x:c r="G7" s="178" t="str">
        <x:v>Normalisation sur 2 caractères vers region.code_region.</x:v>
      </x:c>
    </x:row>
    <x:row r="8" ht="48" customHeight="1">
      <x:c r="A8" s="186" t="str">
        <x:v>reg_nom</x:v>
      </x:c>
      <x:c r="B8" s="180" t="str">
        <x:v>Nom officiel de la région</x:v>
      </x:c>
      <x:c r="C8" s="189" t="str">
        <x:v>VARCHAR</x:v>
      </x:c>
      <x:c r="D8" s="189" t="str">
        <x:v>100</x:v>
      </x:c>
      <x:c r="E8" s="189" t="str">
        <x:v>Élémentaire</x:v>
      </x:c>
      <x:c r="F8" s="180" t="str">
        <x:v>Obligatoire ; un libellé par code région.</x:v>
      </x:c>
      <x:c r="G8" s="181" t="str">
        <x:v>Déduplication par reg_code vers region.nom_region.</x:v>
      </x:c>
    </x:row>
    <x:row r="9" ht="48" customHeight="1">
      <x:c r="A9" s="186" t="str">
        <x:v>dep_code</x:v>
      </x:c>
      <x:c r="B9" s="180" t="str">
        <x:v>Code officiel du département</x:v>
      </x:c>
      <x:c r="C9" s="189" t="str">
        <x:v>VARCHAR</x:v>
      </x:c>
      <x:c r="D9" s="189" t="str">
        <x:v>3</x:v>
      </x:c>
      <x:c r="E9" s="189" t="str">
        <x:v>Élémentaire</x:v>
      </x:c>
      <x:c r="F9" s="180" t="str">
        <x:v>Obligatoire ; unique après déduplication ; conserver les zéros initiaux.</x:v>
      </x:c>
      <x:c r="G9" s="181" t="str">
        <x:v>Normalisation puis déduplication vers departement.code_departement.</x:v>
      </x:c>
    </x:row>
    <x:row r="10" ht="48" customHeight="1">
      <x:c r="A10" s="186" t="str">
        <x:v>dep_nom</x:v>
      </x:c>
      <x:c r="B10" s="180" t="str">
        <x:v>Nom officiel du département</x:v>
      </x:c>
      <x:c r="C10" s="189" t="str">
        <x:v>VARCHAR</x:v>
      </x:c>
      <x:c r="D10" s="189" t="str">
        <x:v>100</x:v>
      </x:c>
      <x:c r="E10" s="189" t="str">
        <x:v>Élémentaire</x:v>
      </x:c>
      <x:c r="F10" s="180" t="str">
        <x:v>Obligatoire ; un libellé par code département.</x:v>
      </x:c>
      <x:c r="G10" s="181" t="str">
        <x:v>Déduplication par dep_code vers departement.nom_departement.</x:v>
      </x:c>
    </x:row>
    <x:row r="11" ht="48" customHeight="1">
      <x:c r="A11" s="186" t="str">
        <x:v>com_code</x:v>
      </x:c>
      <x:c r="B11" s="180" t="str">
        <x:v>Code officiel complet de la commune</x:v>
      </x:c>
      <x:c r="C11" s="189" t="str">
        <x:v>VARCHAR</x:v>
      </x:c>
      <x:c r="D11" s="189" t="str">
        <x:v>6</x:v>
      </x:c>
      <x:c r="E11" s="189" t="str">
        <x:v>Élémentaire</x:v>
      </x:c>
      <x:c r="F11" s="180" t="str">
        <x:v>Obligatoire ; unique ; texte de 5 à 6 caractères selon le territoire.</x:v>
      </x:c>
      <x:c r="G11" s="181" t="str">
        <x:v>Harmonisation vers commune.id_commune ; les 3 derniers caractères forment code_commune.</x:v>
      </x:c>
    </x:row>
    <x:row r="12" ht="48" customHeight="1">
      <x:c r="A12" s="187" t="str">
        <x:v>com_nom</x:v>
      </x:c>
      <x:c r="B12" s="183" t="str">
        <x:v>Nom officiel de la commune</x:v>
      </x:c>
      <x:c r="C12" s="190" t="str">
        <x:v>VARCHAR</x:v>
      </x:c>
      <x:c r="D12" s="190" t="str">
        <x:v>150</x:v>
      </x:c>
      <x:c r="E12" s="190" t="str">
        <x:v>Élémentaire</x:v>
      </x:c>
      <x:c r="F12" s="183" t="str">
        <x:v>Obligatoire ; un libellé par identifiant de commune.</x:v>
      </x:c>
      <x:c r="G12" s="184" t="str">
        <x:v>Déduplication par com_code vers commune.nom_commune.</x:v>
      </x:c>
    </x:row>
  </x:sheetData>
  <x:mergeCells>
    <x:mergeCell ref="A1:G2"/>
    <x:mergeCell ref="A3:G3"/>
    <x:mergeCell ref="A4:G4"/>
  </x:mergeCells>
  <x:conditionalFormatting sqref="E7:E12">
    <x:cfRule type="containsText" dxfId="2" priority="1" operator="containsText" text="Exclue"/>
    <x:cfRule type="containsText" dxfId="3" priority="2" operator="containsText" text="Calculée"/>
  </x:conditionalFormatting>
  <x:pageMargins left="0.7" right="0.7" top="0.75" bottom="0.75" header="0.3" footer="0.3"/>
  <x:tableParts count="1">
    <x:tablePart xmlns:r="http://schemas.openxmlformats.org/officeDocument/2006/relationships" r:id="Rd51a814cddc6440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42" hidden="0" customWidth="1"/>
    <x:col min="3" max="3" width="17" hidden="0" customWidth="1"/>
    <x:col min="4" max="4" width="13" hidden="0" customWidth="1"/>
    <x:col min="5" max="5" width="18" hidden="0" customWidth="1"/>
    <x:col min="6" max="6" width="55" hidden="0" customWidth="1"/>
    <x:col min="7" max="7" width="55" hidden="0" customWidth="1"/>
  </x:cols>
  <x:sheetData>
    <x:row r="1" ht="28" customHeight="1">
      <x:c r="A1" s="139" t="str">
        <x:v>DICTIONNAIRE SOURCE — DONNÉES COMMUNALES</x:v>
      </x:c>
      <x:c r="B1" s="139"/>
      <x:c r="C1" s="139"/>
      <x:c r="D1" s="139"/>
      <x:c r="E1" s="139"/>
      <x:c r="F1" s="139"/>
      <x:c r="G1" s="139"/>
    </x:row>
    <x:row r="2" ht="18" customHeight="1">
      <x:c r="A2" s="139"/>
      <x:c r="B2" s="139"/>
      <x:c r="C2" s="139"/>
      <x:c r="D2" s="139"/>
      <x:c r="E2" s="139"/>
      <x:c r="F2" s="139"/>
      <x:c r="G2" s="139"/>
    </x:row>
    <x:row r="3" ht="24" customHeight="1">
      <x:c r="A3" s="142" t="str">
        <x:v>Source : data/raw/donnees_communes.xlsx • Variables retenues pour le modèle final</x:v>
      </x:c>
      <x:c r="B3" s="142"/>
      <x:c r="C3" s="142"/>
      <x:c r="D3" s="142"/>
      <x:c r="E3" s="142"/>
      <x:c r="F3" s="142"/>
      <x:c r="G3" s="142"/>
    </x:row>
    <x:row r="4">
      <x:c r="A4" s="144" t="str">
        <x:v>5 variables documentées • Les longueurs indiquent la capacité cible ou la longueur utile maximale.</x:v>
      </x:c>
      <x:c r="B4" s="144"/>
      <x:c r="C4" s="144"/>
      <x:c r="D4" s="144"/>
      <x:c r="E4" s="144"/>
      <x:c r="F4" s="144"/>
      <x:c r="G4" s="144"/>
    </x:row>
    <x:row r="6" ht="34" customHeight="1">
      <x:c r="A6" s="155" t="str">
        <x:v>CODE</x:v>
      </x:c>
      <x:c r="B6" s="156" t="str">
        <x:v>SIGNIFICATION</x:v>
      </x:c>
      <x:c r="C6" s="156" t="str">
        <x:v>TYPE</x:v>
      </x:c>
      <x:c r="D6" s="156" t="str">
        <x:v>LONGUEUR</x:v>
      </x:c>
      <x:c r="E6" s="156" t="str">
        <x:v>NATURE</x:v>
      </x:c>
      <x:c r="F6" s="156" t="str">
        <x:v>RÈGLE DE GESTION</x:v>
      </x:c>
      <x:c r="G6" s="157" t="str">
        <x:v>RÈGLE DE CALCUL</x:v>
      </x:c>
    </x:row>
    <x:row r="7" ht="48" customHeight="1">
      <x:c r="A7" s="185" t="str">
        <x:v>CODDEP</x:v>
      </x:c>
      <x:c r="B7" s="177" t="str">
        <x:v>Code du département de la commune</x:v>
      </x:c>
      <x:c r="C7" s="188" t="str">
        <x:v>VARCHAR</x:v>
      </x:c>
      <x:c r="D7" s="188" t="str">
        <x:v>3</x:v>
      </x:c>
      <x:c r="E7" s="188" t="str">
        <x:v>Élémentaire</x:v>
      </x:c>
      <x:c r="F7" s="177" t="str">
        <x:v>Obligatoire ; conserver les zéros initiaux.</x:v>
      </x:c>
      <x:c r="G7" s="178" t="str">
        <x:v>Normalisation puis concaténation avec CODCOM.</x:v>
      </x:c>
    </x:row>
    <x:row r="8" ht="48" customHeight="1">
      <x:c r="A8" s="186" t="str">
        <x:v>CODCOM</x:v>
      </x:c>
      <x:c r="B8" s="180" t="str">
        <x:v>Code de la commune dans le département</x:v>
      </x:c>
      <x:c r="C8" s="189" t="str">
        <x:v>VARCHAR</x:v>
      </x:c>
      <x:c r="D8" s="189" t="str">
        <x:v>3</x:v>
      </x:c>
      <x:c r="E8" s="189" t="str">
        <x:v>Élémentaire</x:v>
      </x:c>
      <x:c r="F8" s="180" t="str">
        <x:v>Obligatoire ; conserver les zéros initiaux.</x:v>
      </x:c>
      <x:c r="G8" s="181" t="str">
        <x:v>LPAD(CODCOM, 3, '0') puis concaténation avec CODDEP.</x:v>
      </x:c>
    </x:row>
    <x:row r="9" ht="48" customHeight="1">
      <x:c r="A9" s="186" t="str">
        <x:v>PMUN</x:v>
      </x:c>
      <x:c r="B9" s="180" t="str">
        <x:v>Population municipale</x:v>
      </x:c>
      <x:c r="C9" s="189" t="str">
        <x:v>INTEGER</x:v>
      </x:c>
      <x:c r="D9" s="189" t="str">
        <x:v>6</x:v>
      </x:c>
      <x:c r="E9" s="189" t="str">
        <x:v>Élémentaire</x:v>
      </x:c>
      <x:c r="F9" s="180" t="str">
        <x:v>Obligatoire ; entier supérieur ou égal à 0.</x:v>
      </x:c>
      <x:c r="G9" s="181" t="str">
        <x:v>Conversion en BIGINT vers population_commune.population_municipale.</x:v>
      </x:c>
    </x:row>
    <x:row r="10" ht="48" customHeight="1">
      <x:c r="A10" s="186" t="str">
        <x:v>PCAP</x:v>
      </x:c>
      <x:c r="B10" s="180" t="str">
        <x:v>Population comptée à part</x:v>
      </x:c>
      <x:c r="C10" s="189" t="str">
        <x:v>INTEGER</x:v>
      </x:c>
      <x:c r="D10" s="189" t="str">
        <x:v>4</x:v>
      </x:c>
      <x:c r="E10" s="189" t="str">
        <x:v>Élémentaire</x:v>
      </x:c>
      <x:c r="F10" s="180" t="str">
        <x:v>Obligatoire ; entier supérieur ou égal à 0.</x:v>
      </x:c>
      <x:c r="G10" s="181" t="str">
        <x:v>Conversion en BIGINT vers population_commune.population_comptee_a_part.</x:v>
      </x:c>
    </x:row>
    <x:row r="11" ht="48" customHeight="1">
      <x:c r="A11" s="187" t="str">
        <x:v>PTOT</x:v>
      </x:c>
      <x:c r="B11" s="183" t="str">
        <x:v>Population totale</x:v>
      </x:c>
      <x:c r="C11" s="190" t="str">
        <x:v>INTEGER</x:v>
      </x:c>
      <x:c r="D11" s="190" t="str">
        <x:v>6</x:v>
      </x:c>
      <x:c r="E11" s="190" t="str">
        <x:v>Calculée</x:v>
      </x:c>
      <x:c r="F11" s="183" t="str">
        <x:v>Obligatoire ; entier supérieur ou égal à 0 ; doit être cohérent avec PMUN et PCAP.</x:v>
      </x:c>
      <x:c r="G11" s="184" t="str">
        <x:v>PTOT = PMUN + PCAP ; conversion vers population_commune.population_totale.</x:v>
      </x:c>
    </x:row>
  </x:sheetData>
  <x:mergeCells>
    <x:mergeCell ref="A1:G2"/>
    <x:mergeCell ref="A3:G3"/>
    <x:mergeCell ref="A4:G4"/>
  </x:mergeCells>
  <x:conditionalFormatting sqref="E7:E11">
    <x:cfRule type="containsText" dxfId="4" priority="1" operator="containsText" text="Exclue"/>
    <x:cfRule type="containsText" dxfId="5" priority="2" operator="containsText" text="Calculée"/>
  </x:conditionalFormatting>
  <x:pageMargins left="0.7" right="0.7" top="0.75" bottom="0.75" header="0.3" footer="0.3"/>
  <x:tableParts count="1">
    <x:tablePart xmlns:r="http://schemas.openxmlformats.org/officeDocument/2006/relationships" r:id="R1a44422fea5f4bca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1" hidden="0" customWidth="1"/>
    <x:col min="3" max="3" width="40" hidden="0" customWidth="1"/>
    <x:col min="4" max="4" width="20" hidden="0" customWidth="1"/>
    <x:col min="5" max="5" width="13" hidden="0" customWidth="1"/>
    <x:col min="6" max="6" width="18" hidden="0" customWidth="1"/>
    <x:col min="7" max="7" width="13" hidden="0" customWidth="1"/>
    <x:col min="8" max="8" width="34" hidden="0" customWidth="1"/>
    <x:col min="9" max="9" width="53" hidden="0" customWidth="1"/>
    <x:col min="10" max="10" width="55" hidden="0" customWidth="1"/>
  </x:cols>
  <x:sheetData>
    <x:row r="1" ht="28" customHeight="1">
      <x:c r="A1" s="139" t="str">
        <x:v>DICTIONNAIRE DU MODÈLE FINAL — DATABRICKS</x:v>
      </x:c>
      <x:c r="B1" s="139"/>
      <x:c r="C1" s="139"/>
      <x:c r="D1" s="139"/>
      <x:c r="E1" s="139"/>
      <x:c r="F1" s="139"/>
      <x:c r="G1" s="139"/>
      <x:c r="H1" s="139"/>
      <x:c r="I1" s="139"/>
      <x:c r="J1" s="139"/>
    </x:row>
    <x:row r="2" ht="18" customHeight="1">
      <x:c r="A2" s="139"/>
      <x:c r="B2" s="139"/>
      <x:c r="C2" s="139"/>
      <x:c r="D2" s="139"/>
      <x:c r="E2" s="139"/>
      <x:c r="F2" s="139"/>
      <x:c r="G2" s="139"/>
      <x:c r="H2" s="139"/>
      <x:c r="I2" s="139"/>
      <x:c r="J2" s="139"/>
    </x:row>
    <x:row r="3" ht="24" customHeight="1">
      <x:c r="A3" s="142" t="str">
        <x:v>7 tables • 33 champs • 7 clés primaires • 6 clés étrangères • Modèle normalisé en 3NF</x:v>
      </x:c>
      <x:c r="B3" s="142"/>
      <x:c r="C3" s="142"/>
      <x:c r="D3" s="142"/>
      <x:c r="E3" s="142"/>
      <x:c r="F3" s="142"/>
      <x:c r="G3" s="142"/>
      <x:c r="H3" s="142"/>
      <x:c r="I3" s="142"/>
      <x:c r="J3" s="142"/>
    </x:row>
    <x:row r="6" ht="36" customHeight="1">
      <x:c r="A6" s="193" t="str">
        <x:v>TABLE</x:v>
      </x:c>
      <x:c r="B6" s="193" t="str">
        <x:v>CODE</x:v>
      </x:c>
      <x:c r="C6" s="193" t="str">
        <x:v>SIGNIFICATION</x:v>
      </x:c>
      <x:c r="D6" s="193" t="str">
        <x:v>TYPE DATABRICKS</x:v>
      </x:c>
      <x:c r="E6" s="193" t="str">
        <x:v>LONGUEUR</x:v>
      </x:c>
      <x:c r="F6" s="193" t="str">
        <x:v>NATURE</x:v>
      </x:c>
      <x:c r="G6" s="193" t="str">
        <x:v>CLÉ</x:v>
      </x:c>
      <x:c r="H6" s="193" t="str">
        <x:v>SOURCE</x:v>
      </x:c>
      <x:c r="I6" s="193" t="str">
        <x:v>RÈGLE DE GESTION</x:v>
      </x:c>
      <x:c r="J6" s="193" t="str">
        <x:v>RÈGLE DE CALCUL</x:v>
      </x:c>
    </x:row>
    <x:row r="7" ht="48" customHeight="1">
      <x:c r="A7" s="203" t="str">
        <x:v>region</x:v>
      </x:c>
      <x:c r="B7" s="203" t="str">
        <x:v>code_region</x:v>
      </x:c>
      <x:c r="C7" s="200" t="str">
        <x:v>Identifiant officiel de la région</x:v>
      </x:c>
      <x:c r="D7" s="206" t="str">
        <x:v>STRING</x:v>
      </x:c>
      <x:c r="E7" s="206" t="str">
        <x:v>2</x:v>
      </x:c>
      <x:c r="F7" s="206" t="str">
        <x:v>Élémentaire</x:v>
      </x:c>
      <x:c r="G7" s="206" t="str">
        <x:v>PK</x:v>
      </x:c>
      <x:c r="H7" s="200" t="str">
        <x:v>reg_code</x:v>
      </x:c>
      <x:c r="I7" s="200" t="str">
        <x:v>Unique et NOT NULL.</x:v>
      </x:c>
      <x:c r="J7" s="200" t="str">
        <x:v>Normalisation sur 2 caractères.</x:v>
      </x:c>
    </x:row>
    <x:row r="8" ht="48" customHeight="1">
      <x:c r="A8" s="204" t="str">
        <x:v>region</x:v>
      </x:c>
      <x:c r="B8" s="204" t="str">
        <x:v>nom_region</x:v>
      </x:c>
      <x:c r="C8" s="201" t="str">
        <x:v>Nom officiel de la région</x:v>
      </x:c>
      <x:c r="D8" s="207" t="str">
        <x:v>STRING</x:v>
      </x:c>
      <x:c r="E8" s="207" t="str">
        <x:v>100</x:v>
      </x:c>
      <x:c r="F8" s="207" t="str">
        <x:v>Élémentaire</x:v>
      </x:c>
      <x:c r="G8" s="207" t="str">
        <x:v>—</x:v>
      </x:c>
      <x:c r="H8" s="201" t="str">
        <x:v>reg_nom</x:v>
      </x:c>
      <x:c r="I8" s="201" t="str">
        <x:v>NOT NULL.</x:v>
      </x:c>
      <x:c r="J8" s="201" t="str">
        <x:v>Déduplication par code_region.</x:v>
      </x:c>
    </x:row>
    <x:row r="9" ht="48" customHeight="1">
      <x:c r="A9" s="204" t="str">
        <x:v>departement</x:v>
      </x:c>
      <x:c r="B9" s="204" t="str">
        <x:v>code_departement</x:v>
      </x:c>
      <x:c r="C9" s="201" t="str">
        <x:v>Identifiant officiel du département</x:v>
      </x:c>
      <x:c r="D9" s="207" t="str">
        <x:v>STRING</x:v>
      </x:c>
      <x:c r="E9" s="207" t="str">
        <x:v>3</x:v>
      </x:c>
      <x:c r="F9" s="207" t="str">
        <x:v>Élémentaire</x:v>
      </x:c>
      <x:c r="G9" s="207" t="str">
        <x:v>PK</x:v>
      </x:c>
      <x:c r="H9" s="201" t="str">
        <x:v>dep_code</x:v>
      </x:c>
      <x:c r="I9" s="201" t="str">
        <x:v>Unique, NOT NULL, zéros initiaux conservés.</x:v>
      </x:c>
      <x:c r="J9" s="201" t="str">
        <x:v>Normalisation du code source.</x:v>
      </x:c>
    </x:row>
    <x:row r="10" ht="48" customHeight="1">
      <x:c r="A10" s="204" t="str">
        <x:v>departement</x:v>
      </x:c>
      <x:c r="B10" s="204" t="str">
        <x:v>nom_departement</x:v>
      </x:c>
      <x:c r="C10" s="201" t="str">
        <x:v>Nom officiel du département</x:v>
      </x:c>
      <x:c r="D10" s="207" t="str">
        <x:v>STRING</x:v>
      </x:c>
      <x:c r="E10" s="207" t="str">
        <x:v>100</x:v>
      </x:c>
      <x:c r="F10" s="207" t="str">
        <x:v>Élémentaire</x:v>
      </x:c>
      <x:c r="G10" s="207" t="str">
        <x:v>—</x:v>
      </x:c>
      <x:c r="H10" s="201" t="str">
        <x:v>dep_nom</x:v>
      </x:c>
      <x:c r="I10" s="201" t="str">
        <x:v>NOT NULL.</x:v>
      </x:c>
      <x:c r="J10" s="201" t="str">
        <x:v>Déduplication par code_departement.</x:v>
      </x:c>
    </x:row>
    <x:row r="11" ht="48" customHeight="1">
      <x:c r="A11" s="204" t="str">
        <x:v>departement</x:v>
      </x:c>
      <x:c r="B11" s="204" t="str">
        <x:v>code_region</x:v>
      </x:c>
      <x:c r="C11" s="201" t="str">
        <x:v>Région de rattachement du département</x:v>
      </x:c>
      <x:c r="D11" s="207" t="str">
        <x:v>STRING</x:v>
      </x:c>
      <x:c r="E11" s="207" t="str">
        <x:v>2</x:v>
      </x:c>
      <x:c r="F11" s="207" t="str">
        <x:v>Élémentaire</x:v>
      </x:c>
      <x:c r="G11" s="207" t="str">
        <x:v>FK</x:v>
      </x:c>
      <x:c r="H11" s="201" t="str">
        <x:v>reg_code</x:v>
      </x:c>
      <x:c r="I11" s="201" t="str">
        <x:v>NOT NULL ; doit exister dans region.code_region.</x:v>
      </x:c>
      <x:c r="J11" s="201" t="str">
        <x:v>Héritage du référentiel géographique.</x:v>
      </x:c>
    </x:row>
    <x:row r="12" ht="48" customHeight="1">
      <x:c r="A12" s="204" t="str">
        <x:v>commune</x:v>
      </x:c>
      <x:c r="B12" s="204" t="str">
        <x:v>id_commune</x:v>
      </x:c>
      <x:c r="C12" s="201" t="str">
        <x:v>Identifiant officiel complet de la commune</x:v>
      </x:c>
      <x:c r="D12" s="207" t="str">
        <x:v>STRING</x:v>
      </x:c>
      <x:c r="E12" s="207" t="str">
        <x:v>6</x:v>
      </x:c>
      <x:c r="F12" s="207" t="str">
        <x:v>Concaténée</x:v>
      </x:c>
      <x:c r="G12" s="207" t="str">
        <x:v>PK</x:v>
      </x:c>
      <x:c r="H12" s="201" t="str">
        <x:v>com_code / CODDEP + CODCOM</x:v>
      </x:c>
      <x:c r="I12" s="201" t="str">
        <x:v>Unique, NOT NULL, zéros initiaux conservés.</x:v>
      </x:c>
      <x:c r="J12" s="201" t="str">
        <x:v>com_code harmonisé ; sinon CODDEP || LPAD(CODCOM,3,'0').</x:v>
      </x:c>
    </x:row>
    <x:row r="13" ht="48" customHeight="1">
      <x:c r="A13" s="204" t="str">
        <x:v>commune</x:v>
      </x:c>
      <x:c r="B13" s="204" t="str">
        <x:v>code_departement</x:v>
      </x:c>
      <x:c r="C13" s="201" t="str">
        <x:v>Département de rattachement de la commune</x:v>
      </x:c>
      <x:c r="D13" s="207" t="str">
        <x:v>STRING</x:v>
      </x:c>
      <x:c r="E13" s="207" t="str">
        <x:v>3</x:v>
      </x:c>
      <x:c r="F13" s="207" t="str">
        <x:v>Élémentaire</x:v>
      </x:c>
      <x:c r="G13" s="207" t="str">
        <x:v>FK</x:v>
      </x:c>
      <x:c r="H13" s="201" t="str">
        <x:v>dep_code</x:v>
      </x:c>
      <x:c r="I13" s="201" t="str">
        <x:v>NOT NULL ; doit exister dans departement.</x:v>
      </x:c>
      <x:c r="J13" s="201" t="str">
        <x:v>Extraction/harmonisation du code département.</x:v>
      </x:c>
    </x:row>
    <x:row r="14" ht="48" customHeight="1">
      <x:c r="A14" s="204" t="str">
        <x:v>commune</x:v>
      </x:c>
      <x:c r="B14" s="204" t="str">
        <x:v>code_commune</x:v>
      </x:c>
      <x:c r="C14" s="201" t="str">
        <x:v>Code de la commune dans son département</x:v>
      </x:c>
      <x:c r="D14" s="207" t="str">
        <x:v>STRING</x:v>
      </x:c>
      <x:c r="E14" s="207" t="str">
        <x:v>3</x:v>
      </x:c>
      <x:c r="F14" s="207" t="str">
        <x:v>Calculée</x:v>
      </x:c>
      <x:c r="G14" s="207" t="str">
        <x:v>—</x:v>
      </x:c>
      <x:c r="H14" s="201" t="str">
        <x:v>com_code</x:v>
      </x:c>
      <x:c r="I14" s="201" t="str">
        <x:v>NOT NULL ; unique avec code_departement.</x:v>
      </x:c>
      <x:c r="J14" s="201" t="str">
        <x:v>Trois derniers caractères de id_commune.</x:v>
      </x:c>
    </x:row>
    <x:row r="15" ht="48" customHeight="1">
      <x:c r="A15" s="204" t="str">
        <x:v>commune</x:v>
      </x:c>
      <x:c r="B15" s="204" t="str">
        <x:v>nom_commune</x:v>
      </x:c>
      <x:c r="C15" s="201" t="str">
        <x:v>Nom officiel de la commune</x:v>
      </x:c>
      <x:c r="D15" s="207" t="str">
        <x:v>STRING</x:v>
      </x:c>
      <x:c r="E15" s="207" t="str">
        <x:v>150</x:v>
      </x:c>
      <x:c r="F15" s="207" t="str">
        <x:v>Élémentaire</x:v>
      </x:c>
      <x:c r="G15" s="207" t="str">
        <x:v>—</x:v>
      </x:c>
      <x:c r="H15" s="201" t="str">
        <x:v>com_nom</x:v>
      </x:c>
      <x:c r="I15" s="201" t="str">
        <x:v>NOT NULL.</x:v>
      </x:c>
      <x:c r="J15" s="201" t="str">
        <x:v>Déduplication par id_commune.</x:v>
      </x:c>
    </x:row>
    <x:row r="16" ht="48" customHeight="1">
      <x:c r="A16" s="204" t="str">
        <x:v>population_commune</x:v>
      </x:c>
      <x:c r="B16" s="204" t="str">
        <x:v>id_commune</x:v>
      </x:c>
      <x:c r="C16" s="201" t="str">
        <x:v>Commune concernée par les populations</x:v>
      </x:c>
      <x:c r="D16" s="207" t="str">
        <x:v>STRING</x:v>
      </x:c>
      <x:c r="E16" s="207" t="str">
        <x:v>6</x:v>
      </x:c>
      <x:c r="F16" s="207" t="str">
        <x:v>Concaténée</x:v>
      </x:c>
      <x:c r="G16" s="207" t="str">
        <x:v>PK + FK</x:v>
      </x:c>
      <x:c r="H16" s="201" t="str">
        <x:v>CODDEP + CODCOM</x:v>
      </x:c>
      <x:c r="I16" s="201" t="str">
        <x:v>Unique, NOT NULL ; doit exister dans commune.</x:v>
      </x:c>
      <x:c r="J16" s="201" t="str">
        <x:v>CODDEP || LPAD(CODCOM,3,'0').</x:v>
      </x:c>
    </x:row>
    <x:row r="17" ht="48" customHeight="1">
      <x:c r="A17" s="204" t="str">
        <x:v>population_commune</x:v>
      </x:c>
      <x:c r="B17" s="204" t="str">
        <x:v>population_municipale</x:v>
      </x:c>
      <x:c r="C17" s="201" t="str">
        <x:v>Population municipale</x:v>
      </x:c>
      <x:c r="D17" s="207" t="str">
        <x:v>BIGINT</x:v>
      </x:c>
      <x:c r="E17" s="207" t="str">
        <x:v>NC</x:v>
      </x:c>
      <x:c r="F17" s="207" t="str">
        <x:v>Élémentaire</x:v>
      </x:c>
      <x:c r="G17" s="207" t="str">
        <x:v>—</x:v>
      </x:c>
      <x:c r="H17" s="201" t="str">
        <x:v>PMUN</x:v>
      </x:c>
      <x:c r="I17" s="201" t="str">
        <x:v>Entier supérieur ou égal à 0.</x:v>
      </x:c>
      <x:c r="J17" s="201" t="str">
        <x:v>Conversion en BIGINT.</x:v>
      </x:c>
    </x:row>
    <x:row r="18" ht="48" customHeight="1">
      <x:c r="A18" s="204" t="str">
        <x:v>population_commune</x:v>
      </x:c>
      <x:c r="B18" s="204" t="str">
        <x:v>population_comptee_a_part</x:v>
      </x:c>
      <x:c r="C18" s="201" t="str">
        <x:v>Population comptée à part</x:v>
      </x:c>
      <x:c r="D18" s="207" t="str">
        <x:v>BIGINT</x:v>
      </x:c>
      <x:c r="E18" s="207" t="str">
        <x:v>NC</x:v>
      </x:c>
      <x:c r="F18" s="207" t="str">
        <x:v>Élémentaire</x:v>
      </x:c>
      <x:c r="G18" s="207" t="str">
        <x:v>—</x:v>
      </x:c>
      <x:c r="H18" s="201" t="str">
        <x:v>PCAP</x:v>
      </x:c>
      <x:c r="I18" s="201" t="str">
        <x:v>Entier supérieur ou égal à 0.</x:v>
      </x:c>
      <x:c r="J18" s="201" t="str">
        <x:v>Conversion en BIGINT.</x:v>
      </x:c>
    </x:row>
    <x:row r="19" ht="48" customHeight="1">
      <x:c r="A19" s="204" t="str">
        <x:v>population_commune</x:v>
      </x:c>
      <x:c r="B19" s="204" t="str">
        <x:v>population_totale</x:v>
      </x:c>
      <x:c r="C19" s="201" t="str">
        <x:v>Population totale</x:v>
      </x:c>
      <x:c r="D19" s="207" t="str">
        <x:v>BIGINT</x:v>
      </x:c>
      <x:c r="E19" s="207" t="str">
        <x:v>NC</x:v>
      </x:c>
      <x:c r="F19" s="207" t="str">
        <x:v>Calculée</x:v>
      </x:c>
      <x:c r="G19" s="207" t="str">
        <x:v>—</x:v>
      </x:c>
      <x:c r="H19" s="201" t="str">
        <x:v>PTOT</x:v>
      </x:c>
      <x:c r="I19" s="201" t="str">
        <x:v>Entier supérieur ou égal à 0.</x:v>
      </x:c>
      <x:c r="J19" s="201" t="str">
        <x:v>population_municipale + population_comptee_a_part.</x:v>
      </x:c>
    </x:row>
    <x:row r="20" ht="48" customHeight="1">
      <x:c r="A20" s="204" t="str">
        <x:v>type_local</x:v>
      </x:c>
      <x:c r="B20" s="204" t="str">
        <x:v>code_type_local</x:v>
      </x:c>
      <x:c r="C20" s="201" t="str">
        <x:v>Code du type de bien</x:v>
      </x:c>
      <x:c r="D20" s="207" t="str">
        <x:v>BIGINT</x:v>
      </x:c>
      <x:c r="E20" s="207" t="str">
        <x:v>NC</x:v>
      </x:c>
      <x:c r="F20" s="207" t="str">
        <x:v>Élémentaire</x:v>
      </x:c>
      <x:c r="G20" s="207" t="str">
        <x:v>PK</x:v>
      </x:c>
      <x:c r="H20" s="201" t="str">
        <x:v>Code type local</x:v>
      </x:c>
      <x:c r="I20" s="201" t="str">
        <x:v>Unique, NOT NULL ; valeurs 1 ou 2.</x:v>
      </x:c>
      <x:c r="J20" s="201" t="str">
        <x:v>Déduplication depuis la source DVF.</x:v>
      </x:c>
    </x:row>
    <x:row r="21" ht="48" customHeight="1">
      <x:c r="A21" s="204" t="str">
        <x:v>type_local</x:v>
      </x:c>
      <x:c r="B21" s="204" t="str">
        <x:v>libelle_type_local</x:v>
      </x:c>
      <x:c r="C21" s="201" t="str">
        <x:v>Libellé du type de bien</x:v>
      </x:c>
      <x:c r="D21" s="207" t="str">
        <x:v>STRING</x:v>
      </x:c>
      <x:c r="E21" s="207" t="str">
        <x:v>80</x:v>
      </x:c>
      <x:c r="F21" s="207" t="str">
        <x:v>Élémentaire</x:v>
      </x:c>
      <x:c r="G21" s="207" t="str">
        <x:v>—</x:v>
      </x:c>
      <x:c r="H21" s="201" t="str">
        <x:v>Type local</x:v>
      </x:c>
      <x:c r="I21" s="201" t="str">
        <x:v>NOT NULL ; Maison ou Appartement.</x:v>
      </x:c>
      <x:c r="J21" s="201" t="str">
        <x:v>Déduplication par code_type_local.</x:v>
      </x:c>
    </x:row>
    <x:row r="22" ht="48" customHeight="1">
      <x:c r="A22" s="204" t="str">
        <x:v>bien</x:v>
      </x:c>
      <x:c r="B22" s="204" t="str">
        <x:v>id_bien</x:v>
      </x:c>
      <x:c r="C22" s="201" t="str">
        <x:v>Identifiant technique du bien</x:v>
      </x:c>
      <x:c r="D22" s="207" t="str">
        <x:v>BIGINT</x:v>
      </x:c>
      <x:c r="E22" s="207" t="str">
        <x:v>NC</x:v>
      </x:c>
      <x:c r="F22" s="207" t="str">
        <x:v>Calculée</x:v>
      </x:c>
      <x:c r="G22" s="207" t="str">
        <x:v>PK</x:v>
      </x:c>
      <x:c r="H22" s="201" t="str">
        <x:v>Généré</x:v>
      </x:c>
      <x:c r="I22" s="201" t="str">
        <x:v>Unique et NOT NULL.</x:v>
      </x:c>
      <x:c r="J22" s="201" t="str">
        <x:v>Numérotation séquentielle de 1 à 34 169.</x:v>
      </x:c>
    </x:row>
    <x:row r="23" ht="48" customHeight="1">
      <x:c r="A23" s="204" t="str">
        <x:v>bien</x:v>
      </x:c>
      <x:c r="B23" s="204" t="str">
        <x:v>id_commune</x:v>
      </x:c>
      <x:c r="C23" s="201" t="str">
        <x:v>Commune de localisation du bien</x:v>
      </x:c>
      <x:c r="D23" s="207" t="str">
        <x:v>STRING</x:v>
      </x:c>
      <x:c r="E23" s="207" t="str">
        <x:v>6</x:v>
      </x:c>
      <x:c r="F23" s="207" t="str">
        <x:v>Concaténée</x:v>
      </x:c>
      <x:c r="G23" s="207" t="str">
        <x:v>FK</x:v>
      </x:c>
      <x:c r="H23" s="201" t="str">
        <x:v>Code departement + Code commune</x:v>
      </x:c>
      <x:c r="I23" s="201" t="str">
        <x:v>NOT NULL ; doit exister dans commune.</x:v>
      </x:c>
      <x:c r="J23" s="201" t="str">
        <x:v>Code departement harmonisé || LPAD(Code commune,3,'0').</x:v>
      </x:c>
    </x:row>
    <x:row r="24" ht="48" customHeight="1">
      <x:c r="A24" s="204" t="str">
        <x:v>bien</x:v>
      </x:c>
      <x:c r="B24" s="204" t="str">
        <x:v>numero_voie</x:v>
      </x:c>
      <x:c r="C24" s="201" t="str">
        <x:v>Numéro dans la voie</x:v>
      </x:c>
      <x:c r="D24" s="207" t="str">
        <x:v>BIGINT</x:v>
      </x:c>
      <x:c r="E24" s="207" t="str">
        <x:v>NC</x:v>
      </x:c>
      <x:c r="F24" s="207" t="str">
        <x:v>Élémentaire</x:v>
      </x:c>
      <x:c r="G24" s="207" t="str">
        <x:v>—</x:v>
      </x:c>
      <x:c r="H24" s="201" t="str">
        <x:v>No voie</x:v>
      </x:c>
      <x:c r="I24" s="201" t="str">
        <x:v>Nullable ; entier positif.</x:v>
      </x:c>
      <x:c r="J24" s="201" t="str">
        <x:v>Conversion en BIGINT.</x:v>
      </x:c>
    </x:row>
    <x:row r="25" ht="48" customHeight="1">
      <x:c r="A25" s="204" t="str">
        <x:v>bien</x:v>
      </x:c>
      <x:c r="B25" s="204" t="str">
        <x:v>btq</x:v>
      </x:c>
      <x:c r="C25" s="201" t="str">
        <x:v>Indice bis, ter ou quater</x:v>
      </x:c>
      <x:c r="D25" s="207" t="str">
        <x:v>STRING</x:v>
      </x:c>
      <x:c r="E25" s="207" t="str">
        <x:v>1</x:v>
      </x:c>
      <x:c r="F25" s="207" t="str">
        <x:v>Élémentaire</x:v>
      </x:c>
      <x:c r="G25" s="207" t="str">
        <x:v>—</x:v>
      </x:c>
      <x:c r="H25" s="201" t="str">
        <x:v>B/T/Q</x:v>
      </x:c>
      <x:c r="I25" s="201" t="str">
        <x:v>Nullable.</x:v>
      </x:c>
      <x:c r="J25" s="201" t="str">
        <x:v>Nettoyage du texte.</x:v>
      </x:c>
    </x:row>
    <x:row r="26" ht="48" customHeight="1">
      <x:c r="A26" s="204" t="str">
        <x:v>bien</x:v>
      </x:c>
      <x:c r="B26" s="204" t="str">
        <x:v>type_voie</x:v>
      </x:c>
      <x:c r="C26" s="201" t="str">
        <x:v>Type abrégé de la voie</x:v>
      </x:c>
      <x:c r="D26" s="207" t="str">
        <x:v>STRING</x:v>
      </x:c>
      <x:c r="E26" s="207" t="str">
        <x:v>10</x:v>
      </x:c>
      <x:c r="F26" s="207" t="str">
        <x:v>Élémentaire</x:v>
      </x:c>
      <x:c r="G26" s="207" t="str">
        <x:v>—</x:v>
      </x:c>
      <x:c r="H26" s="201" t="str">
        <x:v>Type de voie</x:v>
      </x:c>
      <x:c r="I26" s="201" t="str">
        <x:v>Nullable.</x:v>
      </x:c>
      <x:c r="J26" s="201" t="str">
        <x:v>Nettoyage du texte.</x:v>
      </x:c>
    </x:row>
    <x:row r="27" ht="48" customHeight="1">
      <x:c r="A27" s="204" t="str">
        <x:v>bien</x:v>
      </x:c>
      <x:c r="B27" s="204" t="str">
        <x:v>voie</x:v>
      </x:c>
      <x:c r="C27" s="201" t="str">
        <x:v>Libellé de la voie</x:v>
      </x:c>
      <x:c r="D27" s="207" t="str">
        <x:v>STRING</x:v>
      </x:c>
      <x:c r="E27" s="207" t="str">
        <x:v>120</x:v>
      </x:c>
      <x:c r="F27" s="207" t="str">
        <x:v>Élémentaire</x:v>
      </x:c>
      <x:c r="G27" s="207" t="str">
        <x:v>—</x:v>
      </x:c>
      <x:c r="H27" s="201" t="str">
        <x:v>Voie</x:v>
      </x:c>
      <x:c r="I27" s="201" t="str">
        <x:v>Nullable.</x:v>
      </x:c>
      <x:c r="J27" s="201" t="str">
        <x:v>Nettoyage du texte.</x:v>
      </x:c>
    </x:row>
    <x:row r="28" ht="48" customHeight="1">
      <x:c r="A28" s="204" t="str">
        <x:v>bien</x:v>
      </x:c>
      <x:c r="B28" s="204" t="str">
        <x:v>code_postal</x:v>
      </x:c>
      <x:c r="C28" s="201" t="str">
        <x:v>Code postal du bien</x:v>
      </x:c>
      <x:c r="D28" s="207" t="str">
        <x:v>STRING</x:v>
      </x:c>
      <x:c r="E28" s="207" t="str">
        <x:v>5</x:v>
      </x:c>
      <x:c r="F28" s="207" t="str">
        <x:v>Élémentaire</x:v>
      </x:c>
      <x:c r="G28" s="207" t="str">
        <x:v>—</x:v>
      </x:c>
      <x:c r="H28" s="201" t="str">
        <x:v>Code postal</x:v>
      </x:c>
      <x:c r="I28" s="201" t="str">
        <x:v>Nullable ; zéros initiaux conservés.</x:v>
      </x:c>
      <x:c r="J28" s="201" t="str">
        <x:v>LPAD(Code postal,5,'0').</x:v>
      </x:c>
    </x:row>
    <x:row r="29" ht="48" customHeight="1">
      <x:c r="A29" s="204" t="str">
        <x:v>bien</x:v>
      </x:c>
      <x:c r="B29" s="204" t="str">
        <x:v>surface_carrez</x:v>
      </x:c>
      <x:c r="C29" s="201" t="str">
        <x:v>Surface privative Carrez</x:v>
      </x:c>
      <x:c r="D29" s="207" t="str">
        <x:v>DECIMAL(10,2)</x:v>
      </x:c>
      <x:c r="E29" s="207" t="str">
        <x:v>10,2</x:v>
      </x:c>
      <x:c r="F29" s="207" t="str">
        <x:v>Élémentaire</x:v>
      </x:c>
      <x:c r="G29" s="207" t="str">
        <x:v>—</x:v>
      </x:c>
      <x:c r="H29" s="201" t="str">
        <x:v>Surface Carrez du 1er lot</x:v>
      </x:c>
      <x:c r="I29" s="201" t="str">
        <x:v>Nullable ; valeur positive ; en m².</x:v>
      </x:c>
      <x:c r="J29" s="201" t="str">
        <x:v>Conversion décimale.</x:v>
      </x:c>
    </x:row>
    <x:row r="30" ht="48" customHeight="1">
      <x:c r="A30" s="204" t="str">
        <x:v>bien</x:v>
      </x:c>
      <x:c r="B30" s="204" t="str">
        <x:v>surface_reelle_bati</x:v>
      </x:c>
      <x:c r="C30" s="201" t="str">
        <x:v>Surface réelle bâtie</x:v>
      </x:c>
      <x:c r="D30" s="207" t="str">
        <x:v>DECIMAL(10,2)</x:v>
      </x:c>
      <x:c r="E30" s="207" t="str">
        <x:v>10,2</x:v>
      </x:c>
      <x:c r="F30" s="207" t="str">
        <x:v>Élémentaire</x:v>
      </x:c>
      <x:c r="G30" s="207" t="str">
        <x:v>—</x:v>
      </x:c>
      <x:c r="H30" s="201" t="str">
        <x:v>Surface reelle bati</x:v>
      </x:c>
      <x:c r="I30" s="201" t="str">
        <x:v>NOT NULL ; valeur strictement positive ; en m².</x:v>
      </x:c>
      <x:c r="J30" s="201" t="str">
        <x:v>Conversion décimale.</x:v>
      </x:c>
    </x:row>
    <x:row r="31" ht="48" customHeight="1">
      <x:c r="A31" s="204" t="str">
        <x:v>bien</x:v>
      </x:c>
      <x:c r="B31" s="204" t="str">
        <x:v>nombre_pieces_principales</x:v>
      </x:c>
      <x:c r="C31" s="201" t="str">
        <x:v>Nombre de pièces principales</x:v>
      </x:c>
      <x:c r="D31" s="207" t="str">
        <x:v>BIGINT</x:v>
      </x:c>
      <x:c r="E31" s="207" t="str">
        <x:v>NC</x:v>
      </x:c>
      <x:c r="F31" s="207" t="str">
        <x:v>Élémentaire</x:v>
      </x:c>
      <x:c r="G31" s="207" t="str">
        <x:v>—</x:v>
      </x:c>
      <x:c r="H31" s="201" t="str">
        <x:v>Nombre pieces principales</x:v>
      </x:c>
      <x:c r="I31" s="201" t="str">
        <x:v>NOT NULL ; entier supérieur ou égal à 0.</x:v>
      </x:c>
      <x:c r="J31" s="201" t="str">
        <x:v>Conversion en BIGINT.</x:v>
      </x:c>
    </x:row>
    <x:row r="32" ht="48" customHeight="1">
      <x:c r="A32" s="204" t="str">
        <x:v>bien</x:v>
      </x:c>
      <x:c r="B32" s="204" t="str">
        <x:v>code_type_local</x:v>
      </x:c>
      <x:c r="C32" s="201" t="str">
        <x:v>Type du bien</x:v>
      </x:c>
      <x:c r="D32" s="207" t="str">
        <x:v>BIGINT</x:v>
      </x:c>
      <x:c r="E32" s="207" t="str">
        <x:v>NC</x:v>
      </x:c>
      <x:c r="F32" s="207" t="str">
        <x:v>Élémentaire</x:v>
      </x:c>
      <x:c r="G32" s="207" t="str">
        <x:v>FK</x:v>
      </x:c>
      <x:c r="H32" s="201" t="str">
        <x:v>Code type local</x:v>
      </x:c>
      <x:c r="I32" s="201" t="str">
        <x:v>NOT NULL ; doit exister dans type_local.</x:v>
      </x:c>
      <x:c r="J32" s="201" t="str">
        <x:v>Conversion en BIGINT.</x:v>
      </x:c>
    </x:row>
    <x:row r="33" ht="48" customHeight="1">
      <x:c r="A33" s="204" t="str">
        <x:v>vente</x:v>
      </x:c>
      <x:c r="B33" s="204" t="str">
        <x:v>id_vente</x:v>
      </x:c>
      <x:c r="C33" s="201" t="str">
        <x:v>Identifiant technique de la vente</x:v>
      </x:c>
      <x:c r="D33" s="207" t="str">
        <x:v>BIGINT</x:v>
      </x:c>
      <x:c r="E33" s="207" t="str">
        <x:v>NC</x:v>
      </x:c>
      <x:c r="F33" s="207" t="str">
        <x:v>Calculée</x:v>
      </x:c>
      <x:c r="G33" s="207" t="str">
        <x:v>PK</x:v>
      </x:c>
      <x:c r="H33" s="201" t="str">
        <x:v>Généré</x:v>
      </x:c>
      <x:c r="I33" s="201" t="str">
        <x:v>Unique et NOT NULL.</x:v>
      </x:c>
      <x:c r="J33" s="201" t="str">
        <x:v>Numérotation séquentielle de 1 à 34 169.</x:v>
      </x:c>
    </x:row>
    <x:row r="34" ht="48" customHeight="1">
      <x:c r="A34" s="204" t="str">
        <x:v>vente</x:v>
      </x:c>
      <x:c r="B34" s="204" t="str">
        <x:v>id_bien</x:v>
      </x:c>
      <x:c r="C34" s="201" t="str">
        <x:v>Bien concerné par la vente</x:v>
      </x:c>
      <x:c r="D34" s="207" t="str">
        <x:v>BIGINT</x:v>
      </x:c>
      <x:c r="E34" s="207" t="str">
        <x:v>NC</x:v>
      </x:c>
      <x:c r="F34" s="207" t="str">
        <x:v>Calculée</x:v>
      </x:c>
      <x:c r="G34" s="207" t="str">
        <x:v>FK</x:v>
      </x:c>
      <x:c r="H34" s="201" t="str">
        <x:v>Identifiant généré</x:v>
      </x:c>
      <x:c r="I34" s="201" t="str">
        <x:v>NOT NULL ; doit exister dans bien.</x:v>
      </x:c>
      <x:c r="J34" s="201" t="str">
        <x:v>Même identifiant séquentiel que id_bien pour le périmètre chargé.</x:v>
      </x:c>
    </x:row>
    <x:row r="35" ht="48" customHeight="1">
      <x:c r="A35" s="204" t="str">
        <x:v>vente</x:v>
      </x:c>
      <x:c r="B35" s="204" t="str">
        <x:v>numero_disposition</x:v>
      </x:c>
      <x:c r="C35" s="201" t="str">
        <x:v>Numéro de disposition</x:v>
      </x:c>
      <x:c r="D35" s="207" t="str">
        <x:v>BIGINT</x:v>
      </x:c>
      <x:c r="E35" s="207" t="str">
        <x:v>NC</x:v>
      </x:c>
      <x:c r="F35" s="207" t="str">
        <x:v>Élémentaire</x:v>
      </x:c>
      <x:c r="G35" s="207" t="str">
        <x:v>—</x:v>
      </x:c>
      <x:c r="H35" s="201" t="str">
        <x:v>No disposition</x:v>
      </x:c>
      <x:c r="I35" s="201" t="str">
        <x:v>Nullable ; entier positif.</x:v>
      </x:c>
      <x:c r="J35" s="201" t="str">
        <x:v>Conversion en BIGINT.</x:v>
      </x:c>
    </x:row>
    <x:row r="36" ht="48" customHeight="1">
      <x:c r="A36" s="204" t="str">
        <x:v>vente</x:v>
      </x:c>
      <x:c r="B36" s="204" t="str">
        <x:v>date_mutation</x:v>
      </x:c>
      <x:c r="C36" s="201" t="str">
        <x:v>Date de la vente</x:v>
      </x:c>
      <x:c r="D36" s="207" t="str">
        <x:v>DATE</x:v>
      </x:c>
      <x:c r="E36" s="207" t="str">
        <x:v>10</x:v>
      </x:c>
      <x:c r="F36" s="207" t="str">
        <x:v>Élémentaire</x:v>
      </x:c>
      <x:c r="G36" s="207" t="str">
        <x:v>—</x:v>
      </x:c>
      <x:c r="H36" s="201" t="str">
        <x:v>Date mutation</x:v>
      </x:c>
      <x:c r="I36" s="201" t="str">
        <x:v>NOT NULL ; premier semestre 2020 ; format AAAA-MM-JJ.</x:v>
      </x:c>
      <x:c r="J36" s="201" t="str">
        <x:v>Conversion de la date Excel.</x:v>
      </x:c>
    </x:row>
    <x:row r="37" ht="48" customHeight="1">
      <x:c r="A37" s="204" t="str">
        <x:v>vente</x:v>
      </x:c>
      <x:c r="B37" s="204" t="str">
        <x:v>nature_mutation</x:v>
      </x:c>
      <x:c r="C37" s="201" t="str">
        <x:v>Nature de la mutation</x:v>
      </x:c>
      <x:c r="D37" s="207" t="str">
        <x:v>STRING</x:v>
      </x:c>
      <x:c r="E37" s="207" t="str">
        <x:v>80</x:v>
      </x:c>
      <x:c r="F37" s="207" t="str">
        <x:v>Élémentaire</x:v>
      </x:c>
      <x:c r="G37" s="207" t="str">
        <x:v>—</x:v>
      </x:c>
      <x:c r="H37" s="201" t="str">
        <x:v>Nature mutation</x:v>
      </x:c>
      <x:c r="I37" s="201" t="str">
        <x:v>NOT NULL ; valeur Vente dans le périmètre.</x:v>
      </x:c>
      <x:c r="J37" s="201" t="str">
        <x:v>Nettoyage du texte.</x:v>
      </x:c>
    </x:row>
    <x:row r="38" ht="48" customHeight="1">
      <x:c r="A38" s="204" t="str">
        <x:v>vente</x:v>
      </x:c>
      <x:c r="B38" s="204" t="str">
        <x:v>valeur_fonciere</x:v>
      </x:c>
      <x:c r="C38" s="201" t="str">
        <x:v>Montant de la transaction</x:v>
      </x:c>
      <x:c r="D38" s="207" t="str">
        <x:v>DECIMAL(14,2)</x:v>
      </x:c>
      <x:c r="E38" s="207" t="str">
        <x:v>14,2</x:v>
      </x:c>
      <x:c r="F38" s="207" t="str">
        <x:v>Élémentaire</x:v>
      </x:c>
      <x:c r="G38" s="207" t="str">
        <x:v>—</x:v>
      </x:c>
      <x:c r="H38" s="201" t="str">
        <x:v>Valeur fonciere</x:v>
      </x:c>
      <x:c r="I38" s="201" t="str">
        <x:v>Nullable ; valeur positive ; en euros.</x:v>
      </x:c>
      <x:c r="J38" s="201" t="str">
        <x:v>Conversion décimale.</x:v>
      </x:c>
    </x:row>
    <x:row r="39" ht="48" customHeight="1">
      <x:c r="A39" s="205" t="str">
        <x:v>vente</x:v>
      </x:c>
      <x:c r="B39" s="205" t="str">
        <x:v>nombre_lots</x:v>
      </x:c>
      <x:c r="C39" s="202" t="str">
        <x:v>Nombre de lots de la mutation</x:v>
      </x:c>
      <x:c r="D39" s="208" t="str">
        <x:v>BIGINT</x:v>
      </x:c>
      <x:c r="E39" s="208" t="str">
        <x:v>NC</x:v>
      </x:c>
      <x:c r="F39" s="208" t="str">
        <x:v>Élémentaire</x:v>
      </x:c>
      <x:c r="G39" s="208" t="str">
        <x:v>—</x:v>
      </x:c>
      <x:c r="H39" s="202" t="str">
        <x:v>Nombre de lots</x:v>
      </x:c>
      <x:c r="I39" s="202" t="str">
        <x:v>Nullable ; entier supérieur ou égal à 0.</x:v>
      </x:c>
      <x:c r="J39" s="202" t="str">
        <x:v>Conversion en BIGINT.</x:v>
      </x:c>
    </x:row>
  </x:sheetData>
  <x:mergeCells>
    <x:mergeCell ref="A1:J2"/>
    <x:mergeCell ref="A3:J3"/>
  </x:mergeCells>
  <x:conditionalFormatting sqref="G7:G39">
    <x:cfRule type="containsText" dxfId="6" priority="1" operator="containsText" text="PK"/>
    <x:cfRule type="containsText" dxfId="7" priority="2" operator="containsText" text="FK"/>
  </x:conditionalFormatting>
  <x:pageMargins left="0.7" right="0.7" top="0.75" bottom="0.75" header="0.3" footer="0.3"/>
  <x:tableParts count="1">
    <x:tablePart xmlns:r="http://schemas.openxmlformats.org/officeDocument/2006/relationships" r:id="R2a56742c86f947ad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78" hidden="0" customWidth="1"/>
    <x:col min="3" max="3" width="22" hidden="0" customWidth="1"/>
    <x:col min="4" max="4" width="24" hidden="0" customWidth="1"/>
  </x:cols>
  <x:sheetData>
    <x:row r="1" ht="28" customHeight="1">
      <x:c r="A1" s="139" t="str">
        <x:v>LEXIQUE DU DICTIONNAIRE</x:v>
      </x:c>
      <x:c r="B1" s="139"/>
      <x:c r="C1" s="139"/>
      <x:c r="D1" s="139"/>
    </x:row>
    <x:row r="2" ht="18" customHeight="1">
      <x:c r="A2" s="139"/>
      <x:c r="B2" s="139"/>
      <x:c r="C2" s="139"/>
      <x:c r="D2" s="139"/>
    </x:row>
    <x:row r="3" ht="24" customHeight="1">
      <x:c r="A3" s="142" t="str">
        <x:v>Définitions des rubriques, conventions de nature et règles de lecture</x:v>
      </x:c>
      <x:c r="B3" s="142"/>
      <x:c r="C3" s="142"/>
      <x:c r="D3" s="142"/>
    </x:row>
    <x:row r="6" ht="34" customHeight="1">
      <x:c r="A6" s="210" t="str">
        <x:v>RUBRIQUE / TERME</x:v>
      </x:c>
      <x:c r="B6" s="210" t="str">
        <x:v>DÉFINITION</x:v>
      </x:c>
      <x:c r="C6" s="210" t="str">
        <x:v>CATÉGORIE</x:v>
      </x:c>
      <x:c r="D6" s="210" t="str">
        <x:v>UTILISATION</x:v>
      </x:c>
    </x:row>
    <x:row r="7" ht="42" customHeight="1">
      <x:c r="A7" s="211" t="str">
        <x:v>CODE</x:v>
      </x:c>
      <x:c r="B7" s="200" t="str">
        <x:v>Nom exact de la colonne dans le fichier source ou dans la table cible.</x:v>
      </x:c>
      <x:c r="C7" s="200" t="str">
        <x:v>Texte</x:v>
      </x:c>
      <x:c r="D7" s="200" t="str">
        <x:v>Requis</x:v>
      </x:c>
    </x:row>
    <x:row r="8" ht="42" customHeight="1">
      <x:c r="A8" s="212" t="str">
        <x:v>SIGNIFICATION</x:v>
      </x:c>
      <x:c r="B8" s="201" t="str">
        <x:v>Définition métier de la donnée.</x:v>
      </x:c>
      <x:c r="C8" s="201" t="str">
        <x:v>Texte</x:v>
      </x:c>
      <x:c r="D8" s="201" t="str">
        <x:v>Requis</x:v>
      </x:c>
    </x:row>
    <x:row r="9" ht="42" customHeight="1">
      <x:c r="A9" s="212" t="str">
        <x:v>TYPE</x:v>
      </x:c>
      <x:c r="B9" s="201" t="str">
        <x:v>Type logique ou type Databricks : STRING, BIGINT, DATE, DECIMAL, etc.</x:v>
      </x:c>
      <x:c r="C9" s="201" t="str">
        <x:v>Liste</x:v>
      </x:c>
      <x:c r="D9" s="201" t="str">
        <x:v>Requis</x:v>
      </x:c>
    </x:row>
    <x:row r="10" ht="42" customHeight="1">
      <x:c r="A10" s="212" t="str">
        <x:v>LONGUEUR</x:v>
      </x:c>
      <x:c r="B10" s="201" t="str">
        <x:v>Longueur maximale utile ou précision d'un nombre décimal. NC = non concerné.</x:v>
      </x:c>
      <x:c r="C10" s="201" t="str">
        <x:v>Texte</x:v>
      </x:c>
      <x:c r="D10" s="201" t="str">
        <x:v>Selon le type</x:v>
      </x:c>
    </x:row>
    <x:row r="11" ht="42" customHeight="1">
      <x:c r="A11" s="212" t="str">
        <x:v>NATURE</x:v>
      </x:c>
      <x:c r="B11" s="201" t="str">
        <x:v>Élémentaire : source directe ; Calculée : transformation ou calcul ; Concaténée : assemblage ; Exclue : non exportée.</x:v>
      </x:c>
      <x:c r="C11" s="201" t="str">
        <x:v>Liste</x:v>
      </x:c>
      <x:c r="D11" s="201" t="str">
        <x:v>Requis</x:v>
      </x:c>
    </x:row>
    <x:row r="12" ht="42" customHeight="1">
      <x:c r="A12" s="212" t="str">
        <x:v>RÈGLE DE GESTION</x:v>
      </x:c>
      <x:c r="B12" s="201" t="str">
        <x:v>Contraintes de présence, domaine de valeurs, format, unité, unicité ou relation.</x:v>
      </x:c>
      <x:c r="C12" s="201" t="str">
        <x:v>Texte</x:v>
      </x:c>
      <x:c r="D12" s="201" t="str">
        <x:v>Requis</x:v>
      </x:c>
    </x:row>
    <x:row r="13" ht="42" customHeight="1">
      <x:c r="A13" s="212" t="str">
        <x:v>RÈGLE DE CALCUL</x:v>
      </x:c>
      <x:c r="B13" s="201" t="str">
        <x:v>Transformation permettant de passer de la source à la donnée cible.</x:v>
      </x:c>
      <x:c r="C13" s="201" t="str">
        <x:v>Texte</x:v>
      </x:c>
      <x:c r="D13" s="201" t="str">
        <x:v>Si nécessaire</x:v>
      </x:c>
    </x:row>
    <x:row r="14" ht="42" customHeight="1">
      <x:c r="A14" s="212" t="str">
        <x:v>PK</x:v>
      </x:c>
      <x:c r="B14" s="201" t="str">
        <x:v>Primary Key : identifiant unique et non nul d'une table.</x:v>
      </x:c>
      <x:c r="C14" s="201" t="str">
        <x:v>Clé</x:v>
      </x:c>
      <x:c r="D14" s="201" t="str">
        <x:v>Modèle final</x:v>
      </x:c>
    </x:row>
    <x:row r="15" ht="42" customHeight="1">
      <x:c r="A15" s="212" t="str">
        <x:v>FK</x:v>
      </x:c>
      <x:c r="B15" s="201" t="str">
        <x:v>Foreign Key : référence vers la clé primaire d'une autre table.</x:v>
      </x:c>
      <x:c r="C15" s="201" t="str">
        <x:v>Clé</x:v>
      </x:c>
      <x:c r="D15" s="201" t="str">
        <x:v>Modèle final</x:v>
      </x:c>
    </x:row>
    <x:row r="16" ht="42" customHeight="1">
      <x:c r="A16" s="212" t="str">
        <x:v>NOT ENFORCED</x:v>
      </x:c>
      <x:c r="B16" s="201" t="str">
        <x:v>Contrainte déclarative Databricks : elle est documentée mais doit être contrôlée par SQL.</x:v>
      </x:c>
      <x:c r="C16" s="201" t="str">
        <x:v>Databricks</x:v>
      </x:c>
      <x:c r="D16" s="201" t="str">
        <x:v>Modèle final</x:v>
      </x:c>
    </x:row>
    <x:row r="17" ht="42" customHeight="1">
      <x:c r="A17" s="213" t="str">
        <x:v>RGPD</x:v>
      </x:c>
      <x:c r="B17" s="202" t="str">
        <x:v>Règlement général sur la protection des données ; application du principe de minimisation.</x:v>
      </x:c>
      <x:c r="C17" s="202" t="str">
        <x:v>Conformité</x:v>
      </x:c>
      <x:c r="D17" s="202" t="str">
        <x:v>Toutes les sources</x:v>
      </x:c>
    </x:row>
  </x:sheetData>
  <x:mergeCells>
    <x:mergeCell ref="A1:D2"/>
    <x:mergeCell ref="A3:D3"/>
  </x:mergeCells>
  <x:pageMargins left="0.7" right="0.7" top="0.75" bottom="0.75" header="0.3" footer="0.3"/>
  <x:tableParts count="1">
    <x:tablePart xmlns:r="http://schemas.openxmlformats.org/officeDocument/2006/relationships" r:id="R2dad520f769d42ac"/>
  </x:tableParts>
</x:worksheet>
</file>