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elawy\Documents\DEV\DATAImmo\docs\"/>
    </mc:Choice>
  </mc:AlternateContent>
  <xr:revisionPtr revIDLastSave="0" documentId="13_ncr:1_{76639093-C12F-47D1-88B7-11B0EFE2C29D}" xr6:coauthVersionLast="47" xr6:coauthVersionMax="47" xr10:uidLastSave="{00000000-0000-0000-0000-000000000000}"/>
  <bookViews>
    <workbookView xWindow="-28920" yWindow="-30" windowWidth="29040" windowHeight="16440" xr2:uid="{00000000-000D-0000-FFFF-FFFF00000000}"/>
  </bookViews>
  <sheets>
    <sheet name="Accueil" sheetId="1" r:id="rId1"/>
    <sheet name="Source - DVF" sheetId="2" r:id="rId2"/>
    <sheet name="Source - Géographie" sheetId="3" r:id="rId3"/>
    <sheet name="Source - Population" sheetId="4" r:id="rId4"/>
    <sheet name="Modèle final" sheetId="5" r:id="rId5"/>
    <sheet name="Lexique" sheetId="6" r:id="rId6"/>
  </sheets>
  <calcPr calcId="191029"/>
</workbook>
</file>

<file path=xl/calcChain.xml><?xml version="1.0" encoding="utf-8"?>
<calcChain xmlns="http://schemas.openxmlformats.org/spreadsheetml/2006/main">
  <c r="G9" i="1" l="1"/>
  <c r="E9" i="1"/>
  <c r="C9" i="1"/>
  <c r="A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tc={271C787F-20D0-46DA-3042-F8663E80D806}</author>
  </authors>
  <commentList>
    <comment ref="A19" authorId="0" shapeId="0" xr:uid="{00000000-0006-0000-0000-000001000000}">
      <text>
        <r>
          <rPr>
            <sz val="11"/>
            <rFont val="Carlito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Source : Valeurs-foncières.xlsx — la colonne Nom de l'acquereur est retirée avant export conformément au principe de minimisation RGPD.</t>
        </r>
      </text>
    </comment>
  </commentList>
</comments>
</file>

<file path=xl/sharedStrings.xml><?xml version="1.0" encoding="utf-8"?>
<sst xmlns="http://schemas.openxmlformats.org/spreadsheetml/2006/main" count="663" uniqueCount="334">
  <si>
    <t>DICTIONNAIRE DES DONNÉES — DATAImmo</t>
  </si>
  <si>
    <t>Sources, transformations, règles de gestion et modèle relationnel final 3NF</t>
  </si>
  <si>
    <t>INDICATEURS</t>
  </si>
  <si>
    <t>Variables DVF</t>
  </si>
  <si>
    <t>Variables géographiques</t>
  </si>
  <si>
    <t>Variables population</t>
  </si>
  <si>
    <t>Champs du modèle final</t>
  </si>
  <si>
    <t>PÉRIMÈTRE ET DÉCISIONS DE MODÉLISATION</t>
  </si>
  <si>
    <t>Sujet</t>
  </si>
  <si>
    <t>Décision retenue</t>
  </si>
  <si>
    <t>Justification</t>
  </si>
  <si>
    <t>Périmètre temporel</t>
  </si>
  <si>
    <t>Premier semestre 2020</t>
  </si>
  <si>
    <t>Les ventes sont comprises entre le 02/01/2020 et le 30/06/2020.</t>
  </si>
  <si>
    <t>Types de biens</t>
  </si>
  <si>
    <t>Maisons et appartements</t>
  </si>
  <si>
    <t>Les analyses métier portent sur ces deux catégories.</t>
  </si>
  <si>
    <t>Modèle relationnel</t>
  </si>
  <si>
    <t>7 tables en 3NF</t>
  </si>
  <si>
    <t>Séparation des référentiels, des biens, des ventes et des populations.</t>
  </si>
  <si>
    <t>Codes géographiques</t>
  </si>
  <si>
    <t>Stockage en STRING</t>
  </si>
  <si>
    <t>Préservation des zéros initiaux et des codes alphanumériques.</t>
  </si>
  <si>
    <t>Contraintes Databricks</t>
  </si>
  <si>
    <t>7 PK et 6 FK NOT ENFORCED</t>
  </si>
  <si>
    <t>Les contrôles SQL garantissent l'unicité et l'absence d'orphelins.</t>
  </si>
  <si>
    <t>Donnée acquéreur</t>
  </si>
  <si>
    <t>Exclue avant export</t>
  </si>
  <si>
    <t>Application du principe RGPD de minimisation des données.</t>
  </si>
  <si>
    <t>MODE D'EMPLOI</t>
  </si>
  <si>
    <t>1</t>
  </si>
  <si>
    <t>Consulter les trois onglets Source pour comprendre les variables retenues.</t>
  </si>
  <si>
    <t>2</t>
  </si>
  <si>
    <t>Utiliser l'onglet Modèle final pour justifier les types Databricks, les clés et les transformations.</t>
  </si>
  <si>
    <t>3</t>
  </si>
  <si>
    <t>Se référer au Lexique pour interpréter chaque colonne du dictionnaire.</t>
  </si>
  <si>
    <t>4</t>
  </si>
  <si>
    <t>Les lignes rouges signalent les données personnelles exclues au titre du RGPD.</t>
  </si>
  <si>
    <t>DICTIONNAIRE SOURCE — VALEURS FONCIÈRES</t>
  </si>
  <si>
    <t>Source : data/raw/Valeurs-foncières.xlsx • Variables retenues pour le modèle final</t>
  </si>
  <si>
    <t>18 variables documentées • Les longueurs indiquent la capacité cible ou la longueur utile maximale.</t>
  </si>
  <si>
    <t>CODE</t>
  </si>
  <si>
    <t>SIGNIFICATION</t>
  </si>
  <si>
    <t>TYPE</t>
  </si>
  <si>
    <t>LONGUEUR</t>
  </si>
  <si>
    <t>NATURE</t>
  </si>
  <si>
    <t>RÈGLE DE GESTION</t>
  </si>
  <si>
    <t>RÈGLE DE CALCUL</t>
  </si>
  <si>
    <t>No disposition</t>
  </si>
  <si>
    <t>Numéro de la disposition au sein de la mutation</t>
  </si>
  <si>
    <t>INTEGER</t>
  </si>
  <si>
    <t>Élémentaire</t>
  </si>
  <si>
    <t>Import direct vers vente.numero_disposition.</t>
  </si>
  <si>
    <t>Date mutation</t>
  </si>
  <si>
    <t>Date de signature de la transaction</t>
  </si>
  <si>
    <t>DATE</t>
  </si>
  <si>
    <t>10</t>
  </si>
  <si>
    <t>Conversion de la date Excel au format ISO AAAA-MM-JJ.</t>
  </si>
  <si>
    <t>Nature mutation</t>
  </si>
  <si>
    <t>Nature juridique de la mutation</t>
  </si>
  <si>
    <t>VARCHAR</t>
  </si>
  <si>
    <t>5</t>
  </si>
  <si>
    <t>Normalisation du texte puis import vers vente.nature_mutation.</t>
  </si>
  <si>
    <t>Valeur fonciere</t>
  </si>
  <si>
    <t>Montant déclaré de la transaction immobilière</t>
  </si>
  <si>
    <t>DECIMAL</t>
  </si>
  <si>
    <t>14,2</t>
  </si>
  <si>
    <t>Conversion en nombre décimal vers vente.valeur_fonciere.</t>
  </si>
  <si>
    <t>No voie</t>
  </si>
  <si>
    <t>Numéro dans la voie</t>
  </si>
  <si>
    <t>Conversion en entier vers bien.numero_voie.</t>
  </si>
  <si>
    <t>B/T/Q</t>
  </si>
  <si>
    <t>Indice de répétition du numéro de voie (bis, ter, quater)</t>
  </si>
  <si>
    <t>Nettoyage des espaces puis import vers bien.btq.</t>
  </si>
  <si>
    <t>Type de voie</t>
  </si>
  <si>
    <t>Abréviation du type de voie</t>
  </si>
  <si>
    <t>Nettoyage du texte vers bien.type_voie.</t>
  </si>
  <si>
    <t>Voie</t>
  </si>
  <si>
    <t>Libellé de la voie</t>
  </si>
  <si>
    <t>120</t>
  </si>
  <si>
    <t>Nettoyage des espaces vers bien.voie.</t>
  </si>
  <si>
    <t>Code postal</t>
  </si>
  <si>
    <t>Code postal du bien</t>
  </si>
  <si>
    <t>LPAD(Code postal, 5, '0') vers bien.code_postal.</t>
  </si>
  <si>
    <t>Code departement</t>
  </si>
  <si>
    <t>Code officiel du département du bien</t>
  </si>
  <si>
    <t>Harmonisation sur 2 caractères numériques, sans altérer 2A/2B et les codes ultramarins.</t>
  </si>
  <si>
    <t>Code commune</t>
  </si>
  <si>
    <t>Code de la commune dans le département</t>
  </si>
  <si>
    <t>Surface Carrez du 1er lot</t>
  </si>
  <si>
    <t>Surface privative du premier lot</t>
  </si>
  <si>
    <t>10,2</t>
  </si>
  <si>
    <t>Conversion décimale vers bien.surface_carrez.</t>
  </si>
  <si>
    <t>Nombre de lots</t>
  </si>
  <si>
    <t>Nombre total de lots associés à la mutation</t>
  </si>
  <si>
    <t>Entier supérieur ou égal à 0.</t>
  </si>
  <si>
    <t>Conversion en entier vers vente.nombre_lots.</t>
  </si>
  <si>
    <t>Code type local</t>
  </si>
  <si>
    <t>Code du type de bien immobilier</t>
  </si>
  <si>
    <t>Import vers bien.code_type_local et déduplication dans type_local.</t>
  </si>
  <si>
    <t>Type local</t>
  </si>
  <si>
    <t>Libellé du type de bien immobilier</t>
  </si>
  <si>
    <t>11</t>
  </si>
  <si>
    <t>Déduplication du couple Code type local / Type local pour créer type_local.</t>
  </si>
  <si>
    <t>Surface reelle bati</t>
  </si>
  <si>
    <t>Surface réelle bâtie du bien</t>
  </si>
  <si>
    <t>Conversion décimale vers bien.surface_reelle_bati.</t>
  </si>
  <si>
    <t>Nombre pieces principales</t>
  </si>
  <si>
    <t>Nombre de pièces principales du bien</t>
  </si>
  <si>
    <t>Conversion en entier vers bien.nombre_pieces_principales.</t>
  </si>
  <si>
    <t>Nom de l'acquereur</t>
  </si>
  <si>
    <t>Nom de l'acquéreur présent dans la source DVF</t>
  </si>
  <si>
    <t>17</t>
  </si>
  <si>
    <t>Exclue (RGPD)</t>
  </si>
  <si>
    <t>Donnée personnelle non nécessaire : interdite dans les CSV clean et dans Databricks.</t>
  </si>
  <si>
    <t>Suppression avant tout export et avant tout hébergement en ligne.</t>
  </si>
  <si>
    <t>DICTIONNAIRE SOURCE — RÉFÉRENTIEL GÉOGRAPHIQUE</t>
  </si>
  <si>
    <t>Source : data/raw/fr-esr-referentiel-geographique.xlsx • Variables retenues pour le modèle final</t>
  </si>
  <si>
    <t>6 variables documentées • Les longueurs indiquent la capacité cible ou la longueur utile maximale.</t>
  </si>
  <si>
    <t>reg_code</t>
  </si>
  <si>
    <t>Code officiel de la région</t>
  </si>
  <si>
    <t>Normalisation sur 2 caractères vers region.code_region.</t>
  </si>
  <si>
    <t>reg_nom</t>
  </si>
  <si>
    <t>Nom officiel de la région</t>
  </si>
  <si>
    <t>100</t>
  </si>
  <si>
    <t>Déduplication par reg_code vers region.nom_region.</t>
  </si>
  <si>
    <t>dep_code</t>
  </si>
  <si>
    <t>Code officiel du département</t>
  </si>
  <si>
    <t>Normalisation puis déduplication vers departement.code_departement.</t>
  </si>
  <si>
    <t>dep_nom</t>
  </si>
  <si>
    <t>Nom officiel du département</t>
  </si>
  <si>
    <t>Déduplication par dep_code vers departement.nom_departement.</t>
  </si>
  <si>
    <t>com_code</t>
  </si>
  <si>
    <t>Code officiel complet de la commune</t>
  </si>
  <si>
    <t>6</t>
  </si>
  <si>
    <t>Harmonisation vers commune.id_commune ; les 3 derniers caractères forment code_commune.</t>
  </si>
  <si>
    <t>com_nom</t>
  </si>
  <si>
    <t>Nom officiel de la commune</t>
  </si>
  <si>
    <t>150</t>
  </si>
  <si>
    <t>Déduplication par com_code vers commune.nom_commune.</t>
  </si>
  <si>
    <t>DICTIONNAIRE SOURCE — DONNÉES COMMUNALES</t>
  </si>
  <si>
    <t>Source : data/raw/donnees_communes.xlsx • Variables retenues pour le modèle final</t>
  </si>
  <si>
    <t>5 variables documentées • Les longueurs indiquent la capacité cible ou la longueur utile maximale.</t>
  </si>
  <si>
    <t>CODDEP</t>
  </si>
  <si>
    <t>Code du département de la commune</t>
  </si>
  <si>
    <t>Normalisation puis concaténation avec CODCOM.</t>
  </si>
  <si>
    <t>CODCOM</t>
  </si>
  <si>
    <t>LPAD(CODCOM, 3, '0') puis concaténation avec CODDEP.</t>
  </si>
  <si>
    <t>PMUN</t>
  </si>
  <si>
    <t>Population municipale</t>
  </si>
  <si>
    <t>Conversion en BIGINT vers population_commune.population_municipale.</t>
  </si>
  <si>
    <t>PCAP</t>
  </si>
  <si>
    <t>Population comptée à part</t>
  </si>
  <si>
    <t>Conversion en BIGINT vers population_commune.population_comptee_a_part.</t>
  </si>
  <si>
    <t>PTOT</t>
  </si>
  <si>
    <t>Population totale</t>
  </si>
  <si>
    <t>Calculée</t>
  </si>
  <si>
    <t>PTOT = PMUN + PCAP ; conversion vers population_commune.population_totale.</t>
  </si>
  <si>
    <t>DICTIONNAIRE DU MODÈLE FINAL — DATABRICKS</t>
  </si>
  <si>
    <t>7 tables • 33 champs • 7 clés primaires • 6 clés étrangères • Modèle normalisé en 3NF</t>
  </si>
  <si>
    <t>TABLE</t>
  </si>
  <si>
    <t>TYPE DATABRICKS</t>
  </si>
  <si>
    <t>CLÉ</t>
  </si>
  <si>
    <t>SOURCE</t>
  </si>
  <si>
    <t>region</t>
  </si>
  <si>
    <t>code_region</t>
  </si>
  <si>
    <t>Identifiant officiel de la région</t>
  </si>
  <si>
    <t>STRING</t>
  </si>
  <si>
    <t>PK</t>
  </si>
  <si>
    <t>Unique et NOT NULL.</t>
  </si>
  <si>
    <t>Normalisation sur 2 caractères.</t>
  </si>
  <si>
    <t>nom_region</t>
  </si>
  <si>
    <t>—</t>
  </si>
  <si>
    <t>NOT NULL.</t>
  </si>
  <si>
    <t>Déduplication par code_region.</t>
  </si>
  <si>
    <t>departement</t>
  </si>
  <si>
    <t>code_departement</t>
  </si>
  <si>
    <t>Identifiant officiel du département</t>
  </si>
  <si>
    <t>Unique, NOT NULL, zéros initiaux conservés.</t>
  </si>
  <si>
    <t>Normalisation du code source.</t>
  </si>
  <si>
    <t>nom_departement</t>
  </si>
  <si>
    <t>Déduplication par code_departement.</t>
  </si>
  <si>
    <t>Région de rattachement du département</t>
  </si>
  <si>
    <t>FK</t>
  </si>
  <si>
    <t>Héritage du référentiel géographique.</t>
  </si>
  <si>
    <t>commune</t>
  </si>
  <si>
    <t>id_commune</t>
  </si>
  <si>
    <t>Identifiant officiel complet de la commune</t>
  </si>
  <si>
    <t>Concaténée</t>
  </si>
  <si>
    <t>com_code / CODDEP + CODCOM</t>
  </si>
  <si>
    <t>com_code harmonisé ; sinon CODDEP || LPAD(CODCOM,3,'0').</t>
  </si>
  <si>
    <t>Département de rattachement de la commune</t>
  </si>
  <si>
    <t>Extraction/harmonisation du code département.</t>
  </si>
  <si>
    <t>code_commune</t>
  </si>
  <si>
    <t>Code de la commune dans son département</t>
  </si>
  <si>
    <t>Trois derniers caractères de id_commune.</t>
  </si>
  <si>
    <t>nom_commune</t>
  </si>
  <si>
    <t>Déduplication par id_commune.</t>
  </si>
  <si>
    <t>population_commune</t>
  </si>
  <si>
    <t>Commune concernée par les populations</t>
  </si>
  <si>
    <t>PK + FK</t>
  </si>
  <si>
    <t>CODDEP + CODCOM</t>
  </si>
  <si>
    <t>CODDEP || LPAD(CODCOM,3,'0').</t>
  </si>
  <si>
    <t>population_municipale</t>
  </si>
  <si>
    <t>BIGINT</t>
  </si>
  <si>
    <t>NC</t>
  </si>
  <si>
    <t>Conversion en BIGINT.</t>
  </si>
  <si>
    <t>population_comptee_a_part</t>
  </si>
  <si>
    <t>population_totale</t>
  </si>
  <si>
    <t>population_municipale + population_comptee_a_part.</t>
  </si>
  <si>
    <t>type_local</t>
  </si>
  <si>
    <t>code_type_local</t>
  </si>
  <si>
    <t>Code du type de bien</t>
  </si>
  <si>
    <t>Unique, NOT NULL ; valeurs 1 ou 2.</t>
  </si>
  <si>
    <t>Déduplication depuis la source DVF.</t>
  </si>
  <si>
    <t>libelle_type_local</t>
  </si>
  <si>
    <t>Libellé du type de bien</t>
  </si>
  <si>
    <t>80</t>
  </si>
  <si>
    <t>Déduplication par code_type_local.</t>
  </si>
  <si>
    <t>bien</t>
  </si>
  <si>
    <t>id_bien</t>
  </si>
  <si>
    <t>Identifiant technique du bien</t>
  </si>
  <si>
    <t>Généré</t>
  </si>
  <si>
    <t>Numérotation séquentielle de 1 à 34 169.</t>
  </si>
  <si>
    <t>Commune de localisation du bien</t>
  </si>
  <si>
    <t>Code departement + Code commune</t>
  </si>
  <si>
    <t>Code departement harmonisé || LPAD(Code commune,3,'0').</t>
  </si>
  <si>
    <t>numero_voie</t>
  </si>
  <si>
    <t>Nullable ; entier positif.</t>
  </si>
  <si>
    <t>btq</t>
  </si>
  <si>
    <t>Indice bis, ter ou quater</t>
  </si>
  <si>
    <t>Nullable.</t>
  </si>
  <si>
    <t>Nettoyage du texte.</t>
  </si>
  <si>
    <t>type_voie</t>
  </si>
  <si>
    <t>Type abrégé de la voie</t>
  </si>
  <si>
    <t>voie</t>
  </si>
  <si>
    <t>code_postal</t>
  </si>
  <si>
    <t>LPAD(Code postal,5,'0').</t>
  </si>
  <si>
    <t>surface_carrez</t>
  </si>
  <si>
    <t>Surface privative Carrez</t>
  </si>
  <si>
    <t>DECIMAL(10,2)</t>
  </si>
  <si>
    <t>Conversion décimale.</t>
  </si>
  <si>
    <t>surface_reelle_bati</t>
  </si>
  <si>
    <t>Surface réelle bâtie</t>
  </si>
  <si>
    <t>nombre_pieces_principales</t>
  </si>
  <si>
    <t>Nombre de pièces principales</t>
  </si>
  <si>
    <t>Type du bien</t>
  </si>
  <si>
    <t>vente</t>
  </si>
  <si>
    <t>id_vente</t>
  </si>
  <si>
    <t>Identifiant technique de la vente</t>
  </si>
  <si>
    <t>Bien concerné par la vente</t>
  </si>
  <si>
    <t>Identifiant généré</t>
  </si>
  <si>
    <t>NOT NULL ; doit exister dans bien.</t>
  </si>
  <si>
    <t>Même identifiant séquentiel que id_bien pour le périmètre chargé.</t>
  </si>
  <si>
    <t>numero_disposition</t>
  </si>
  <si>
    <t>Numéro de disposition</t>
  </si>
  <si>
    <t>date_mutation</t>
  </si>
  <si>
    <t>Date de la vente</t>
  </si>
  <si>
    <t>Conversion de la date Excel.</t>
  </si>
  <si>
    <t>nature_mutation</t>
  </si>
  <si>
    <t>Nature de la mutation</t>
  </si>
  <si>
    <t>valeur_fonciere</t>
  </si>
  <si>
    <t>Montant de la transaction</t>
  </si>
  <si>
    <t>DECIMAL(14,2)</t>
  </si>
  <si>
    <t>nombre_lots</t>
  </si>
  <si>
    <t>Nombre de lots de la mutation</t>
  </si>
  <si>
    <t>LEXIQUE DU DICTIONNAIRE</t>
  </si>
  <si>
    <t>Définitions des rubriques, conventions de nature et règles de lecture</t>
  </si>
  <si>
    <t>RUBRIQUE / TERME</t>
  </si>
  <si>
    <t>DÉFINITION</t>
  </si>
  <si>
    <t>CATÉGORIE</t>
  </si>
  <si>
    <t>UTILISATION</t>
  </si>
  <si>
    <t>Nom exact de la colonne dans le fichier source ou dans la table cible.</t>
  </si>
  <si>
    <t>Texte</t>
  </si>
  <si>
    <t>Requis</t>
  </si>
  <si>
    <t>Définition métier de la donnée.</t>
  </si>
  <si>
    <t>Type logique ou type Databricks : STRING, BIGINT, DATE, DECIMAL, etc.</t>
  </si>
  <si>
    <t>Liste</t>
  </si>
  <si>
    <t>Longueur maximale utile ou précision d'un nombre décimal. NC = non concerné.</t>
  </si>
  <si>
    <t>Selon le type</t>
  </si>
  <si>
    <t>Élémentaire : source directe ; Calculée : transformation ou calcul ; Concaténée : assemblage ; Exclue : non exportée.</t>
  </si>
  <si>
    <t>Contraintes de présence, domaine de valeurs, format, unité, unicité ou relation.</t>
  </si>
  <si>
    <t>Transformation permettant de passer de la source à la donnée cible.</t>
  </si>
  <si>
    <t>Si nécessaire</t>
  </si>
  <si>
    <t>Primary Key : identifiant unique et non nul d'une table.</t>
  </si>
  <si>
    <t>Clé</t>
  </si>
  <si>
    <t>Modèle final</t>
  </si>
  <si>
    <t>Foreign Key : référence vers la clé primaire d'une autre table.</t>
  </si>
  <si>
    <t>NOT ENFORCED</t>
  </si>
  <si>
    <t>Contrainte déclarative Databricks : elle est documentée mais doit être contrôlée par SQL.</t>
  </si>
  <si>
    <t>Databricks</t>
  </si>
  <si>
    <t>RGPD</t>
  </si>
  <si>
    <t>Conformité</t>
  </si>
  <si>
    <t>Toutes les sources</t>
  </si>
  <si>
    <t>Obligatoire : un libellé par identifiant de commune.</t>
  </si>
  <si>
    <t>Obligatoire : unique ; texte de 5 à 6 caractères selon le territoire.</t>
  </si>
  <si>
    <t>Obligatoire : un libellé par code département.</t>
  </si>
  <si>
    <t>Obligatoire : unique après déduplication ; conserver les zéros initiaux.</t>
  </si>
  <si>
    <t>Obligatoire : un libellé par code région.</t>
  </si>
  <si>
    <t>Obligatoire : unique après déduplication ; conserver sous forme de texte.</t>
  </si>
  <si>
    <t>Obligatoire : conserver les zéros initiaux.</t>
  </si>
  <si>
    <t>Obligatoire : entier supérieur ou égal à 0.</t>
  </si>
  <si>
    <t>Obligatoire : entier supérieur ou égal à 0 ; doit être cohérent avec PMUN et PCAP.</t>
  </si>
  <si>
    <t>Obligatoire : entier strictement positif.</t>
  </si>
  <si>
    <t>Obligatoire : format cible AAAA-MM-JJ ; comprise entre le 01/01/2020 et le 30/06/2020.</t>
  </si>
  <si>
    <t>Obligatoire : valeur attendue dans le périmètre : Vente.</t>
  </si>
  <si>
    <t>Valeur positive ou nulle : champ nullable lorsque la source est absente.</t>
  </si>
  <si>
    <t>Nullable : entier positif lorsqu'il est renseigné.</t>
  </si>
  <si>
    <t>Nullable : une lettre au maximum.</t>
  </si>
  <si>
    <t>Nullable : exemple : RUE, BD, RTE, AV.</t>
  </si>
  <si>
    <t>Nullable : texte nettoyé sans modification sémantique.</t>
  </si>
  <si>
    <t>Conserver sous forme de texte et compléter les zéros initiaux : nullable.</t>
  </si>
  <si>
    <t>Obligatoire : texte de 2 à 3 caractères ; les zéros initiaux sont conservés.</t>
  </si>
  <si>
    <t>Valeur positive ou nulle : exprimée en m².</t>
  </si>
  <si>
    <t>Obligatoire : valeurs conservées : 1 = Maison, 2 = Appartement.</t>
  </si>
  <si>
    <t>Obligatoire : valeurs attendues : Maison ou Appartement.</t>
  </si>
  <si>
    <t>Obligatoire dans le périmètre : strictement positive ; exprimée en m².</t>
  </si>
  <si>
    <t>LPAD(Code commune, 3, '0') : utilisé avec Code departement pour construire id_commune.</t>
  </si>
  <si>
    <t>NOT NULL : doit exister dans region.code_region.</t>
  </si>
  <si>
    <t>NOT NULL : doit exister dans departement.</t>
  </si>
  <si>
    <t>NOT NULL : unique avec code_departement.</t>
  </si>
  <si>
    <t>Unique, NOT NULL : doit exister dans commune.</t>
  </si>
  <si>
    <t>NOT NULL : doit exister dans commune.</t>
  </si>
  <si>
    <t>NOT NULL : Maison ou Appartement.</t>
  </si>
  <si>
    <t>Nullable : zéros initiaux conservés.</t>
  </si>
  <si>
    <t>Nullable : valeur positive ; en m².</t>
  </si>
  <si>
    <t>NOT NULL : valeur strictement positive ; en m².</t>
  </si>
  <si>
    <t>NOT NULL : entier supérieur ou égal à 0.</t>
  </si>
  <si>
    <t>NOT NULL : doit exister dans type_local.</t>
  </si>
  <si>
    <t>NOT NULL : premier semestre 2020 ; format AAAA-MM-JJ.</t>
  </si>
  <si>
    <t>NOT NULL : valeur Vente dans le périmètre.</t>
  </si>
  <si>
    <t>Nullable : valeur positive ; en euros.</t>
  </si>
  <si>
    <t>Nullable : entier supérieur ou égal à 0.</t>
  </si>
  <si>
    <t>Règlement général sur la protection des données : application du principe de minimisation.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</si>
</sst>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name val="Carlito"/>
    </font>
    <font>
      <b/>
      <sz val="24"/>
      <color rgb="FFFFFFFF"/>
      <name val="Carlito"/>
    </font>
    <font>
      <i/>
      <sz val="11"/>
      <color rgb="FFBFDBFE"/>
      <name val="Carlito"/>
    </font>
    <font>
      <b/>
      <sz val="11"/>
      <color rgb="FFFFFFFF"/>
      <name val="Carlito"/>
    </font>
    <font>
      <b/>
      <sz val="11"/>
      <color rgb="FF2563EB"/>
      <name val="Carlito"/>
    </font>
    <font>
      <b/>
      <sz val="10"/>
      <color rgb="FF2563EB"/>
      <name val="Carlito"/>
    </font>
    <font>
      <b/>
      <sz val="22"/>
      <color rgb="FF2563EB"/>
      <name val="Carlito"/>
    </font>
    <font>
      <b/>
      <sz val="11"/>
      <color rgb="FF0891B2"/>
      <name val="Carlito"/>
    </font>
    <font>
      <b/>
      <sz val="10"/>
      <color rgb="FF0891B2"/>
      <name val="Carlito"/>
    </font>
    <font>
      <b/>
      <sz val="22"/>
      <color rgb="FF0891B2"/>
      <name val="Carlito"/>
    </font>
    <font>
      <b/>
      <sz val="11"/>
      <color rgb="FF059669"/>
      <name val="Carlito"/>
    </font>
    <font>
      <b/>
      <sz val="10"/>
      <color rgb="FF059669"/>
      <name val="Carlito"/>
    </font>
    <font>
      <b/>
      <sz val="22"/>
      <color rgb="FF059669"/>
      <name val="Carlito"/>
    </font>
    <font>
      <b/>
      <sz val="11"/>
      <color rgb="FF7C3AED"/>
      <name val="Carlito"/>
    </font>
    <font>
      <b/>
      <sz val="10"/>
      <color rgb="FF7C3AED"/>
      <name val="Carlito"/>
    </font>
    <font>
      <b/>
      <sz val="22"/>
      <color rgb="FF7C3AED"/>
      <name val="Carlito"/>
    </font>
    <font>
      <b/>
      <sz val="11"/>
      <color rgb="FF0F172A"/>
      <name val="Carlito"/>
    </font>
    <font>
      <b/>
      <sz val="11"/>
      <color rgb="FFD97706"/>
      <name val="Carlito"/>
    </font>
    <font>
      <b/>
      <sz val="11"/>
      <color rgb="FFDC2626"/>
      <name val="Carlito"/>
    </font>
    <font>
      <b/>
      <sz val="12"/>
      <color rgb="FFFFFFFF"/>
      <name val="Carlito"/>
    </font>
    <font>
      <b/>
      <sz val="20"/>
      <color rgb="FFFFFFFF"/>
      <name val="Carlito"/>
    </font>
    <font>
      <i/>
      <sz val="10"/>
      <color rgb="FFBFDBFE"/>
      <name val="Carlito"/>
    </font>
    <font>
      <b/>
      <sz val="9"/>
      <color rgb="FF2563EB"/>
      <name val="Carlito"/>
    </font>
    <font>
      <b/>
      <sz val="10"/>
      <color rgb="FFFFFFFF"/>
      <name val="Carlito"/>
    </font>
  </fonts>
  <fills count="13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E293B"/>
      </patternFill>
    </fill>
    <fill>
      <patternFill patternType="solid">
        <fgColor rgb="FF2563EB"/>
      </patternFill>
    </fill>
    <fill>
      <patternFill patternType="solid">
        <fgColor rgb="FFEFF6FF"/>
      </patternFill>
    </fill>
    <fill>
      <patternFill patternType="solid">
        <fgColor rgb="FFECFEFF"/>
      </patternFill>
    </fill>
    <fill>
      <patternFill patternType="solid">
        <fgColor rgb="FFECFDF5"/>
      </patternFill>
    </fill>
    <fill>
      <patternFill patternType="solid">
        <fgColor rgb="FFF5F3FF"/>
      </patternFill>
    </fill>
    <fill>
      <patternFill patternType="solid">
        <fgColor rgb="FFFFFBEB"/>
      </patternFill>
    </fill>
    <fill>
      <patternFill patternType="solid">
        <fgColor rgb="FFFEF2F2"/>
      </patternFill>
    </fill>
    <fill>
      <patternFill patternType="solid">
        <fgColor rgb="FFFF4B2B"/>
      </patternFill>
    </fill>
    <fill>
      <patternFill patternType="solid">
        <fgColor rgb="FFF8FAFC"/>
      </patternFill>
    </fill>
  </fills>
  <borders count="43">
    <border>
      <left/>
      <right/>
      <top/>
      <bottom/>
      <diagonal/>
    </border>
    <border>
      <left style="medium">
        <color rgb="FF2563EB"/>
      </left>
      <right/>
      <top style="medium">
        <color rgb="FF2563EB"/>
      </top>
      <bottom/>
      <diagonal/>
    </border>
    <border>
      <left/>
      <right style="medium">
        <color rgb="FF2563EB"/>
      </right>
      <top style="medium">
        <color rgb="FF2563EB"/>
      </top>
      <bottom/>
      <diagonal/>
    </border>
    <border>
      <left style="medium">
        <color rgb="FF2563EB"/>
      </left>
      <right/>
      <top/>
      <bottom/>
      <diagonal/>
    </border>
    <border>
      <left/>
      <right style="medium">
        <color rgb="FF2563EB"/>
      </right>
      <top/>
      <bottom/>
      <diagonal/>
    </border>
    <border>
      <left style="medium">
        <color rgb="FF2563EB"/>
      </left>
      <right/>
      <top/>
      <bottom style="medium">
        <color rgb="FF2563EB"/>
      </bottom>
      <diagonal/>
    </border>
    <border>
      <left/>
      <right style="medium">
        <color rgb="FF2563EB"/>
      </right>
      <top/>
      <bottom style="medium">
        <color rgb="FF2563EB"/>
      </bottom>
      <diagonal/>
    </border>
    <border>
      <left style="medium">
        <color rgb="FF0891B2"/>
      </left>
      <right/>
      <top style="medium">
        <color rgb="FF0891B2"/>
      </top>
      <bottom/>
      <diagonal/>
    </border>
    <border>
      <left/>
      <right style="medium">
        <color rgb="FF0891B2"/>
      </right>
      <top style="medium">
        <color rgb="FF0891B2"/>
      </top>
      <bottom/>
      <diagonal/>
    </border>
    <border>
      <left style="medium">
        <color rgb="FF0891B2"/>
      </left>
      <right/>
      <top/>
      <bottom/>
      <diagonal/>
    </border>
    <border>
      <left/>
      <right style="medium">
        <color rgb="FF0891B2"/>
      </right>
      <top/>
      <bottom/>
      <diagonal/>
    </border>
    <border>
      <left style="medium">
        <color rgb="FF0891B2"/>
      </left>
      <right/>
      <top/>
      <bottom style="medium">
        <color rgb="FF0891B2"/>
      </bottom>
      <diagonal/>
    </border>
    <border>
      <left/>
      <right style="medium">
        <color rgb="FF0891B2"/>
      </right>
      <top/>
      <bottom style="medium">
        <color rgb="FF0891B2"/>
      </bottom>
      <diagonal/>
    </border>
    <border>
      <left style="medium">
        <color rgb="FF059669"/>
      </left>
      <right/>
      <top style="medium">
        <color rgb="FF059669"/>
      </top>
      <bottom/>
      <diagonal/>
    </border>
    <border>
      <left/>
      <right style="medium">
        <color rgb="FF059669"/>
      </right>
      <top style="medium">
        <color rgb="FF059669"/>
      </top>
      <bottom/>
      <diagonal/>
    </border>
    <border>
      <left style="medium">
        <color rgb="FF059669"/>
      </left>
      <right/>
      <top/>
      <bottom/>
      <diagonal/>
    </border>
    <border>
      <left/>
      <right style="medium">
        <color rgb="FF059669"/>
      </right>
      <top/>
      <bottom/>
      <diagonal/>
    </border>
    <border>
      <left style="medium">
        <color rgb="FF059669"/>
      </left>
      <right/>
      <top/>
      <bottom style="medium">
        <color rgb="FF059669"/>
      </bottom>
      <diagonal/>
    </border>
    <border>
      <left/>
      <right style="medium">
        <color rgb="FF059669"/>
      </right>
      <top/>
      <bottom style="medium">
        <color rgb="FF059669"/>
      </bottom>
      <diagonal/>
    </border>
    <border>
      <left style="medium">
        <color rgb="FF7C3AED"/>
      </left>
      <right/>
      <top style="medium">
        <color rgb="FF7C3AED"/>
      </top>
      <bottom/>
      <diagonal/>
    </border>
    <border>
      <left/>
      <right style="medium">
        <color rgb="FF7C3AED"/>
      </right>
      <top style="medium">
        <color rgb="FF7C3AED"/>
      </top>
      <bottom/>
      <diagonal/>
    </border>
    <border>
      <left style="medium">
        <color rgb="FF7C3AED"/>
      </left>
      <right/>
      <top/>
      <bottom/>
      <diagonal/>
    </border>
    <border>
      <left/>
      <right style="medium">
        <color rgb="FF7C3AED"/>
      </right>
      <top/>
      <bottom/>
      <diagonal/>
    </border>
    <border>
      <left style="medium">
        <color rgb="FF7C3AED"/>
      </left>
      <right/>
      <top/>
      <bottom style="medium">
        <color rgb="FF7C3AED"/>
      </bottom>
      <diagonal/>
    </border>
    <border>
      <left/>
      <right style="medium">
        <color rgb="FF7C3AED"/>
      </right>
      <top/>
      <bottom style="medium">
        <color rgb="FF7C3AED"/>
      </bottom>
      <diagonal/>
    </border>
    <border>
      <left/>
      <right/>
      <top/>
      <bottom style="thin">
        <color rgb="FFCBD5E1"/>
      </bottom>
      <diagonal/>
    </border>
    <border>
      <left/>
      <right/>
      <top style="thin">
        <color rgb="FFCBD5E1"/>
      </top>
      <bottom style="thin">
        <color rgb="FFCBD5E1"/>
      </bottom>
      <diagonal/>
    </border>
    <border>
      <left/>
      <right/>
      <top style="thin">
        <color rgb="FFCBD5E1"/>
      </top>
      <bottom/>
      <diagonal/>
    </border>
    <border>
      <left style="medium">
        <color rgb="FF2563EB"/>
      </left>
      <right/>
      <top style="medium">
        <color rgb="FF2563EB"/>
      </top>
      <bottom style="medium">
        <color rgb="FF2563EB"/>
      </bottom>
      <diagonal/>
    </border>
    <border>
      <left/>
      <right/>
      <top style="medium">
        <color rgb="FF2563EB"/>
      </top>
      <bottom style="medium">
        <color rgb="FF2563EB"/>
      </bottom>
      <diagonal/>
    </border>
    <border>
      <left/>
      <right style="medium">
        <color rgb="FF2563EB"/>
      </right>
      <top style="medium">
        <color rgb="FF2563EB"/>
      </top>
      <bottom style="medium">
        <color rgb="FF2563EB"/>
      </bottom>
      <diagonal/>
    </border>
    <border>
      <left/>
      <right style="thin">
        <color rgb="FFE2E8F0"/>
      </right>
      <top/>
      <bottom style="thin">
        <color rgb="FFE2E8F0"/>
      </bottom>
      <diagonal/>
    </border>
    <border>
      <left style="thin">
        <color rgb="FFE2E8F0"/>
      </left>
      <right style="thin">
        <color rgb="FFE2E8F0"/>
      </right>
      <top/>
      <bottom style="thin">
        <color rgb="FFE2E8F0"/>
      </bottom>
      <diagonal/>
    </border>
    <border>
      <left style="thin">
        <color rgb="FFE2E8F0"/>
      </left>
      <right/>
      <top/>
      <bottom style="thin">
        <color rgb="FFE2E8F0"/>
      </bottom>
      <diagonal/>
    </border>
    <border>
      <left/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E2E8F0"/>
      </left>
      <right/>
      <top style="thin">
        <color rgb="FFE2E8F0"/>
      </top>
      <bottom style="thin">
        <color rgb="FFE2E8F0"/>
      </bottom>
      <diagonal/>
    </border>
    <border>
      <left/>
      <right style="thin">
        <color rgb="FFE2E8F0"/>
      </right>
      <top style="thin">
        <color rgb="FFE2E8F0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/>
      <diagonal/>
    </border>
    <border>
      <left style="thin">
        <color rgb="FFE2E8F0"/>
      </left>
      <right/>
      <top style="thin">
        <color rgb="FFE2E8F0"/>
      </top>
      <bottom/>
      <diagonal/>
    </border>
    <border>
      <left/>
      <right/>
      <top/>
      <bottom style="thin">
        <color rgb="FFE2E8F0"/>
      </bottom>
      <diagonal/>
    </border>
    <border>
      <left/>
      <right/>
      <top style="thin">
        <color rgb="FFE2E8F0"/>
      </top>
      <bottom style="thin">
        <color rgb="FFE2E8F0"/>
      </bottom>
      <diagonal/>
    </border>
    <border>
      <left/>
      <right/>
      <top style="thin">
        <color rgb="FFE2E8F0"/>
      </top>
      <bottom/>
      <diagonal/>
    </border>
  </borders>
  <cellStyleXfs count="1">
    <xf numFmtId="0" fontId="0" fillId="0" borderId="0"/>
  </cellStyleXfs>
  <cellXfs count="75">
    <xf numFmtId="0" fontId="0" fillId="0" borderId="0" xfId="0"/>
    <xf numFmtId="0" fontId="19" fillId="11" borderId="0" xfId="0" applyFont="1" applyFill="1" applyAlignment="1">
      <alignment horizontal="center" vertical="center"/>
    </xf>
    <xf numFmtId="0" fontId="23" fillId="4" borderId="28" xfId="0" applyFont="1" applyFill="1" applyBorder="1" applyAlignment="1">
      <alignment horizontal="center" vertical="center" wrapText="1"/>
    </xf>
    <xf numFmtId="0" fontId="23" fillId="4" borderId="29" xfId="0" applyFont="1" applyFill="1" applyBorder="1" applyAlignment="1">
      <alignment horizontal="center" vertical="center" wrapText="1"/>
    </xf>
    <xf numFmtId="0" fontId="23" fillId="4" borderId="30" xfId="0" applyFont="1" applyFill="1" applyBorder="1" applyAlignment="1">
      <alignment horizontal="center" vertical="center" wrapText="1"/>
    </xf>
    <xf numFmtId="0" fontId="0" fillId="0" borderId="32" xfId="0" applyBorder="1" applyAlignment="1">
      <alignment vertical="top" wrapText="1"/>
    </xf>
    <xf numFmtId="0" fontId="0" fillId="0" borderId="33" xfId="0" applyBorder="1" applyAlignment="1">
      <alignment vertical="top" wrapText="1"/>
    </xf>
    <xf numFmtId="0" fontId="0" fillId="0" borderId="35" xfId="0" applyBorder="1" applyAlignment="1">
      <alignment vertical="top" wrapText="1"/>
    </xf>
    <xf numFmtId="0" fontId="0" fillId="0" borderId="36" xfId="0" applyBorder="1" applyAlignment="1">
      <alignment vertical="top" wrapText="1"/>
    </xf>
    <xf numFmtId="0" fontId="0" fillId="0" borderId="38" xfId="0" applyBorder="1" applyAlignment="1">
      <alignment vertical="top" wrapText="1"/>
    </xf>
    <xf numFmtId="0" fontId="0" fillId="0" borderId="39" xfId="0" applyBorder="1" applyAlignment="1">
      <alignment vertical="top" wrapText="1"/>
    </xf>
    <xf numFmtId="0" fontId="16" fillId="0" borderId="31" xfId="0" applyFont="1" applyBorder="1" applyAlignment="1">
      <alignment vertical="top" wrapText="1"/>
    </xf>
    <xf numFmtId="0" fontId="16" fillId="0" borderId="34" xfId="0" applyFont="1" applyBorder="1" applyAlignment="1">
      <alignment vertical="top" wrapText="1"/>
    </xf>
    <xf numFmtId="0" fontId="16" fillId="0" borderId="37" xfId="0" applyFont="1" applyBorder="1" applyAlignment="1">
      <alignment vertical="top" wrapText="1"/>
    </xf>
    <xf numFmtId="0" fontId="0" fillId="0" borderId="32" xfId="0" applyBorder="1" applyAlignment="1">
      <alignment horizontal="center" vertical="top" wrapText="1"/>
    </xf>
    <xf numFmtId="0" fontId="0" fillId="0" borderId="35" xfId="0" applyBorder="1" applyAlignment="1">
      <alignment horizontal="center" vertical="top" wrapText="1"/>
    </xf>
    <xf numFmtId="0" fontId="0" fillId="0" borderId="38" xfId="0" applyBorder="1" applyAlignment="1">
      <alignment horizontal="center" vertical="top" wrapText="1"/>
    </xf>
    <xf numFmtId="0" fontId="3" fillId="4" borderId="0" xfId="0" applyFont="1" applyFill="1" applyAlignment="1">
      <alignment horizontal="center" vertical="center" wrapText="1"/>
    </xf>
    <xf numFmtId="0" fontId="0" fillId="0" borderId="40" xfId="0" applyBorder="1" applyAlignment="1">
      <alignment vertical="top" wrapText="1"/>
    </xf>
    <xf numFmtId="0" fontId="0" fillId="0" borderId="41" xfId="0" applyBorder="1" applyAlignment="1">
      <alignment vertical="top" wrapText="1"/>
    </xf>
    <xf numFmtId="0" fontId="0" fillId="0" borderId="42" xfId="0" applyBorder="1" applyAlignment="1">
      <alignment vertical="top" wrapText="1"/>
    </xf>
    <xf numFmtId="0" fontId="16" fillId="0" borderId="40" xfId="0" applyFont="1" applyBorder="1" applyAlignment="1">
      <alignment vertical="top" wrapText="1"/>
    </xf>
    <xf numFmtId="0" fontId="16" fillId="0" borderId="41" xfId="0" applyFont="1" applyBorder="1" applyAlignment="1">
      <alignment vertical="top" wrapText="1"/>
    </xf>
    <xf numFmtId="0" fontId="16" fillId="0" borderId="42" xfId="0" applyFont="1" applyBorder="1" applyAlignment="1">
      <alignment vertical="top" wrapText="1"/>
    </xf>
    <xf numFmtId="0" fontId="0" fillId="0" borderId="40" xfId="0" applyBorder="1" applyAlignment="1">
      <alignment horizontal="center" vertical="top" wrapText="1"/>
    </xf>
    <xf numFmtId="0" fontId="0" fillId="0" borderId="41" xfId="0" applyBorder="1" applyAlignment="1">
      <alignment horizontal="center" vertical="top" wrapText="1"/>
    </xf>
    <xf numFmtId="0" fontId="0" fillId="0" borderId="42" xfId="0" applyBorder="1" applyAlignment="1">
      <alignment horizontal="center" vertical="top" wrapText="1"/>
    </xf>
    <xf numFmtId="0" fontId="3" fillId="4" borderId="0" xfId="0" applyFont="1" applyFill="1" applyAlignment="1">
      <alignment horizontal="center" vertical="center"/>
    </xf>
    <xf numFmtId="0" fontId="4" fillId="0" borderId="40" xfId="0" applyFont="1" applyBorder="1" applyAlignment="1">
      <alignment vertical="top" wrapText="1"/>
    </xf>
    <xf numFmtId="0" fontId="4" fillId="0" borderId="41" xfId="0" applyFont="1" applyBorder="1" applyAlignment="1">
      <alignment vertical="top" wrapText="1"/>
    </xf>
    <xf numFmtId="0" fontId="4" fillId="0" borderId="42" xfId="0" applyFont="1" applyBorder="1" applyAlignment="1">
      <alignment vertical="top" wrapText="1"/>
    </xf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vertical="center"/>
    </xf>
    <xf numFmtId="0" fontId="3" fillId="4" borderId="0" xfId="0" applyFont="1" applyFill="1"/>
    <xf numFmtId="0" fontId="5" fillId="5" borderId="1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0" fontId="8" fillId="6" borderId="7" xfId="0" applyFont="1" applyFill="1" applyBorder="1" applyAlignment="1">
      <alignment horizontal="center" vertical="center"/>
    </xf>
    <xf numFmtId="0" fontId="7" fillId="6" borderId="8" xfId="0" applyFont="1" applyFill="1" applyBorder="1" applyAlignment="1">
      <alignment horizontal="center" vertical="center"/>
    </xf>
    <xf numFmtId="0" fontId="9" fillId="6" borderId="9" xfId="0" applyFont="1" applyFill="1" applyBorder="1" applyAlignment="1">
      <alignment horizontal="center" vertical="center"/>
    </xf>
    <xf numFmtId="0" fontId="7" fillId="6" borderId="10" xfId="0" applyFont="1" applyFill="1" applyBorder="1" applyAlignment="1">
      <alignment horizontal="center" vertical="center"/>
    </xf>
    <xf numFmtId="0" fontId="7" fillId="6" borderId="11" xfId="0" applyFont="1" applyFill="1" applyBorder="1" applyAlignment="1">
      <alignment horizontal="center" vertical="center"/>
    </xf>
    <xf numFmtId="0" fontId="7" fillId="6" borderId="12" xfId="0" applyFont="1" applyFill="1" applyBorder="1" applyAlignment="1">
      <alignment horizontal="center" vertical="center"/>
    </xf>
    <xf numFmtId="0" fontId="11" fillId="7" borderId="13" xfId="0" applyFont="1" applyFill="1" applyBorder="1" applyAlignment="1">
      <alignment horizontal="center" vertical="center"/>
    </xf>
    <xf numFmtId="0" fontId="10" fillId="7" borderId="14" xfId="0" applyFont="1" applyFill="1" applyBorder="1" applyAlignment="1">
      <alignment horizontal="center" vertical="center"/>
    </xf>
    <xf numFmtId="0" fontId="12" fillId="7" borderId="15" xfId="0" applyFont="1" applyFill="1" applyBorder="1" applyAlignment="1">
      <alignment horizontal="center" vertical="center"/>
    </xf>
    <xf numFmtId="0" fontId="10" fillId="7" borderId="16" xfId="0" applyFont="1" applyFill="1" applyBorder="1" applyAlignment="1">
      <alignment horizontal="center" vertical="center"/>
    </xf>
    <xf numFmtId="0" fontId="10" fillId="7" borderId="17" xfId="0" applyFont="1" applyFill="1" applyBorder="1" applyAlignment="1">
      <alignment horizontal="center" vertical="center"/>
    </xf>
    <xf numFmtId="0" fontId="10" fillId="7" borderId="18" xfId="0" applyFont="1" applyFill="1" applyBorder="1" applyAlignment="1">
      <alignment horizontal="center" vertical="center"/>
    </xf>
    <xf numFmtId="0" fontId="14" fillId="8" borderId="19" xfId="0" applyFont="1" applyFill="1" applyBorder="1" applyAlignment="1">
      <alignment horizontal="center" vertical="center"/>
    </xf>
    <xf numFmtId="0" fontId="13" fillId="8" borderId="20" xfId="0" applyFont="1" applyFill="1" applyBorder="1" applyAlignment="1">
      <alignment horizontal="center" vertical="center"/>
    </xf>
    <xf numFmtId="0" fontId="15" fillId="8" borderId="21" xfId="0" applyFont="1" applyFill="1" applyBorder="1" applyAlignment="1">
      <alignment horizontal="center" vertical="center"/>
    </xf>
    <xf numFmtId="0" fontId="13" fillId="8" borderId="22" xfId="0" applyFont="1" applyFill="1" applyBorder="1" applyAlignment="1">
      <alignment horizontal="center" vertical="center"/>
    </xf>
    <xf numFmtId="0" fontId="13" fillId="8" borderId="23" xfId="0" applyFont="1" applyFill="1" applyBorder="1" applyAlignment="1">
      <alignment horizontal="center" vertical="center"/>
    </xf>
    <xf numFmtId="0" fontId="13" fillId="8" borderId="24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16" fillId="0" borderId="25" xfId="0" applyFont="1" applyBorder="1" applyAlignment="1">
      <alignment vertical="center" wrapText="1"/>
    </xf>
    <xf numFmtId="0" fontId="4" fillId="0" borderId="25" xfId="0" applyFont="1" applyBorder="1" applyAlignment="1">
      <alignment vertical="center" wrapText="1"/>
    </xf>
    <xf numFmtId="0" fontId="0" fillId="0" borderId="25" xfId="0" applyBorder="1" applyAlignment="1">
      <alignment vertical="center" wrapText="1"/>
    </xf>
    <xf numFmtId="0" fontId="16" fillId="0" borderId="26" xfId="0" applyFont="1" applyBorder="1" applyAlignment="1">
      <alignment vertical="center" wrapText="1"/>
    </xf>
    <xf numFmtId="0" fontId="4" fillId="0" borderId="26" xfId="0" applyFont="1" applyBorder="1" applyAlignment="1">
      <alignment vertical="center" wrapText="1"/>
    </xf>
    <xf numFmtId="0" fontId="0" fillId="0" borderId="26" xfId="0" applyBorder="1" applyAlignment="1">
      <alignment vertical="center" wrapText="1"/>
    </xf>
    <xf numFmtId="0" fontId="16" fillId="9" borderId="26" xfId="0" applyFont="1" applyFill="1" applyBorder="1" applyAlignment="1">
      <alignment vertical="center" wrapText="1"/>
    </xf>
    <xf numFmtId="0" fontId="17" fillId="9" borderId="26" xfId="0" applyFont="1" applyFill="1" applyBorder="1" applyAlignment="1">
      <alignment vertical="center" wrapText="1"/>
    </xf>
    <xf numFmtId="0" fontId="0" fillId="9" borderId="26" xfId="0" applyFill="1" applyBorder="1" applyAlignment="1">
      <alignment vertical="center" wrapText="1"/>
    </xf>
    <xf numFmtId="0" fontId="18" fillId="10" borderId="27" xfId="0" applyFont="1" applyFill="1" applyBorder="1" applyAlignment="1">
      <alignment vertical="center" wrapText="1"/>
    </xf>
    <xf numFmtId="0" fontId="0" fillId="12" borderId="25" xfId="0" applyFill="1" applyBorder="1" applyAlignment="1">
      <alignment vertical="center" wrapText="1"/>
    </xf>
    <xf numFmtId="0" fontId="0" fillId="12" borderId="26" xfId="0" applyFill="1" applyBorder="1" applyAlignment="1">
      <alignment vertical="center" wrapText="1"/>
    </xf>
    <xf numFmtId="0" fontId="0" fillId="12" borderId="27" xfId="0" applyFill="1" applyBorder="1" applyAlignment="1">
      <alignment vertical="center" wrapText="1"/>
    </xf>
    <xf numFmtId="0" fontId="20" fillId="2" borderId="0" xfId="0" applyFont="1" applyFill="1" applyAlignment="1">
      <alignment horizontal="left" vertical="center"/>
    </xf>
    <xf numFmtId="0" fontId="21" fillId="3" borderId="0" xfId="0" applyFont="1" applyFill="1" applyAlignment="1">
      <alignment horizontal="left" vertical="center"/>
    </xf>
    <xf numFmtId="0" fontId="22" fillId="5" borderId="0" xfId="0" applyFont="1" applyFill="1" applyAlignment="1">
      <alignment vertical="center"/>
    </xf>
  </cellXfs>
  <cellStyles count="1">
    <cellStyle name="Normal" xfId="0" builtinId="0"/>
  </cellStyles>
  <dxfs count="8">
    <dxf>
      <font>
        <b/>
        <color rgb="FF1D4ED8"/>
      </font>
      <fill>
        <patternFill patternType="solid">
          <bgColor rgb="FFDBEAFE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D97706"/>
      </font>
      <fill>
        <patternFill patternType="solid">
          <bgColor rgb="FFFFFBEB"/>
        </patternFill>
      </fill>
    </dxf>
    <dxf>
      <font>
        <b/>
        <color rgb="FFDC2626"/>
      </font>
      <fill>
        <patternFill patternType="solid">
          <bgColor rgb="FFFEF2F2"/>
        </patternFill>
      </fill>
    </dxf>
    <dxf>
      <font>
        <b/>
        <color rgb="FFD97706"/>
      </font>
      <fill>
        <patternFill patternType="solid">
          <bgColor rgb="FFFFFBEB"/>
        </patternFill>
      </fill>
    </dxf>
    <dxf>
      <font>
        <b/>
        <color rgb="FFDC2626"/>
      </font>
      <fill>
        <patternFill patternType="solid">
          <bgColor rgb="FFFEF2F2"/>
        </patternFill>
      </fill>
    </dxf>
    <dxf>
      <font>
        <b/>
        <color rgb="FFD97706"/>
      </font>
      <fill>
        <patternFill patternType="solid">
          <bgColor rgb="FFFFFBEB"/>
        </patternFill>
      </fill>
    </dxf>
    <dxf>
      <font>
        <b/>
        <color rgb="FFDC2626"/>
      </font>
      <fill>
        <patternFill patternType="solid">
          <bgColor rgb="FFFEF2F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83bc63485564420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962025</xdr:colOff>
      <xdr:row>0</xdr:row>
      <xdr:rowOff>0</xdr:rowOff>
    </xdr:from>
    <xdr:ext cx="2305050" cy="768350"/>
    <xdr:pic>
      <xdr:nvPicPr>
        <xdr:cNvPr id="2" name="d59428d7-77c6-44f5-bb10-bee4c03ca5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67625" y="0"/>
          <a:ext cx="2305050" cy="768350"/>
        </a:xfrm>
        <a:prstGeom prst="rect">
          <a:avLst/>
        </a:prstGeom>
      </xdr:spPr>
    </xdr:pic>
    <xdr:clientData/>
  </xdr:oneCellAnchor>
  <xdr:twoCellAnchor>
    <xdr:from>
      <xdr:col>0</xdr:col>
      <xdr:colOff>0</xdr:colOff>
      <xdr:row>0</xdr:row>
      <xdr:rowOff>0</xdr:rowOff>
    </xdr:from>
    <xdr:to>
      <xdr:col>7</xdr:col>
      <xdr:colOff>76200</xdr:colOff>
      <xdr:row>37</xdr:row>
      <xdr:rowOff>152400</xdr:rowOff>
    </xdr:to>
    <xdr:sp macro="" textlink="">
      <xdr:nvSpPr>
        <xdr:cNvPr id="1026" name="Text Box 2" hidden="1">
          <a:extLst>
            <a:ext uri="{FF2B5EF4-FFF2-40B4-BE49-F238E27FC236}">
              <a16:creationId xmlns:a16="http://schemas.microsoft.com/office/drawing/2014/main" id="{0ADDAD44-1A70-2DFA-F7A4-EB83FF65688E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persons/person.xml><?xml version="1.0" encoding="utf-8"?>
<xltc:personList xmlns:xltc="http://schemas.microsoft.com/office/spreadsheetml/2018/threadedcomments">
  <xltc:person displayName="Stephane-OC" id="{2A4675FF-672A-403B-AF64-22755BB4332B}"/>
</xltc: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icoSourceDVF" displayName="DicoSourceDVF" ref="A6:G24" totalsRowShown="0">
  <autoFilter ref="A6:G24" xr:uid="{00000000-0009-0000-0100-000001000000}"/>
  <tableColumns count="7">
    <tableColumn id="1" xr3:uid="{00000000-0010-0000-0000-000001000000}" name="CODE"/>
    <tableColumn id="2" xr3:uid="{00000000-0010-0000-0000-000002000000}" name="SIGNIFICATION"/>
    <tableColumn id="3" xr3:uid="{00000000-0010-0000-0000-000003000000}" name="TYPE"/>
    <tableColumn id="4" xr3:uid="{00000000-0010-0000-0000-000004000000}" name="LONGUEUR"/>
    <tableColumn id="5" xr3:uid="{00000000-0010-0000-0000-000005000000}" name="NATURE"/>
    <tableColumn id="6" xr3:uid="{00000000-0010-0000-0000-000006000000}" name="RÈGLE DE GESTION"/>
    <tableColumn id="7" xr3:uid="{00000000-0010-0000-0000-000007000000}" name="RÈGLE DE CALCU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DicoSourceGeo" displayName="DicoSourceGeo" ref="A6:G12" totalsRowShown="0">
  <autoFilter ref="A6:G12" xr:uid="{00000000-0009-0000-0100-000002000000}"/>
  <tableColumns count="7">
    <tableColumn id="1" xr3:uid="{00000000-0010-0000-0100-000001000000}" name="CODE"/>
    <tableColumn id="2" xr3:uid="{00000000-0010-0000-0100-000002000000}" name="SIGNIFICATION"/>
    <tableColumn id="3" xr3:uid="{00000000-0010-0000-0100-000003000000}" name="TYPE"/>
    <tableColumn id="4" xr3:uid="{00000000-0010-0000-0100-000004000000}" name="LONGUEUR"/>
    <tableColumn id="5" xr3:uid="{00000000-0010-0000-0100-000005000000}" name="NATURE"/>
    <tableColumn id="6" xr3:uid="{00000000-0010-0000-0100-000006000000}" name="RÈGLE DE GESTION"/>
    <tableColumn id="7" xr3:uid="{00000000-0010-0000-0100-000007000000}" name="RÈGLE DE CALCUL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DicoSourcePopulation" displayName="DicoSourcePopulation" ref="A6:G11" totalsRowShown="0">
  <autoFilter ref="A6:G11" xr:uid="{00000000-0009-0000-0100-000003000000}"/>
  <tableColumns count="7">
    <tableColumn id="1" xr3:uid="{00000000-0010-0000-0200-000001000000}" name="CODE"/>
    <tableColumn id="2" xr3:uid="{00000000-0010-0000-0200-000002000000}" name="SIGNIFICATION"/>
    <tableColumn id="3" xr3:uid="{00000000-0010-0000-0200-000003000000}" name="TYPE"/>
    <tableColumn id="4" xr3:uid="{00000000-0010-0000-0200-000004000000}" name="LONGUEUR"/>
    <tableColumn id="5" xr3:uid="{00000000-0010-0000-0200-000005000000}" name="NATURE"/>
    <tableColumn id="6" xr3:uid="{00000000-0010-0000-0200-000006000000}" name="RÈGLE DE GESTION"/>
    <tableColumn id="7" xr3:uid="{00000000-0010-0000-0200-000007000000}" name="RÈGLE DE CALCUL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DicoModeleFinal" displayName="DicoModeleFinal" ref="A6:J39" totalsRowShown="0">
  <autoFilter ref="A6:J39" xr:uid="{00000000-0009-0000-0100-000004000000}"/>
  <tableColumns count="10">
    <tableColumn id="1" xr3:uid="{00000000-0010-0000-0300-000001000000}" name="TABLE"/>
    <tableColumn id="2" xr3:uid="{00000000-0010-0000-0300-000002000000}" name="CODE"/>
    <tableColumn id="3" xr3:uid="{00000000-0010-0000-0300-000003000000}" name="SIGNIFICATION"/>
    <tableColumn id="4" xr3:uid="{00000000-0010-0000-0300-000004000000}" name="TYPE DATABRICKS"/>
    <tableColumn id="5" xr3:uid="{00000000-0010-0000-0300-000005000000}" name="LONGUEUR"/>
    <tableColumn id="6" xr3:uid="{00000000-0010-0000-0300-000006000000}" name="NATURE"/>
    <tableColumn id="7" xr3:uid="{00000000-0010-0000-0300-000007000000}" name="CLÉ"/>
    <tableColumn id="8" xr3:uid="{00000000-0010-0000-0300-000008000000}" name="SOURCE"/>
    <tableColumn id="9" xr3:uid="{00000000-0010-0000-0300-000009000000}" name="RÈGLE DE GESTION"/>
    <tableColumn id="10" xr3:uid="{00000000-0010-0000-0300-00000A000000}" name="RÈGLE DE CALCUL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LexiqueDico" displayName="LexiqueDico" ref="A6:D17" totalsRowShown="0">
  <tableColumns count="4">
    <tableColumn id="1" xr3:uid="{00000000-0010-0000-0400-000001000000}" name="RUBRIQUE / TERME"/>
    <tableColumn id="2" xr3:uid="{00000000-0010-0000-0400-000002000000}" name="DÉFINITION"/>
    <tableColumn id="3" xr3:uid="{00000000-0010-0000-0400-000003000000}" name="CATÉGORIE"/>
    <tableColumn id="4" xr3:uid="{00000000-0010-0000-0400-000004000000}" name="UTILIS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.xml><?xml version="1.0" encoding="utf-8"?>
<xltc:ThreadedComments xmlns:xltc="http://schemas.microsoft.com/office/spreadsheetml/2018/threadedcomments">
  <xltc:threadedComment ref="A19" dT="2026-07-18T20:36:14.136" personId="{2A4675FF-672A-403B-AF64-22755BB4332B}" id="{271C787F-20D0-46DA-3042-F8663E80D806}">
    <xltc:text>Source : Valeurs-foncières.xlsx — la colonne Nom de l'acquereur est retirée avant export conformément au principe de minimisation RGPD.</xltc:text>
  </xltc:threadedComment>
</xltc: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575bb11d09454bcf" Type="http://schemas.microsoft.com/office/2017/10/relationships/threadedComment" Target="../threadedcomments/threadedcomment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showGridLines="0" tabSelected="1" topLeftCell="A7" workbookViewId="0">
      <selection activeCell="K19" sqref="K19"/>
    </sheetView>
  </sheetViews>
  <sheetFormatPr baseColWidth="10" defaultColWidth="9" defaultRowHeight="14.25"/>
  <cols>
    <col min="1" max="1" width="16" customWidth="1"/>
    <col min="2" max="8" width="18" customWidth="1"/>
  </cols>
  <sheetData>
    <row r="1" spans="1:8">
      <c r="A1" s="31" t="s">
        <v>0</v>
      </c>
      <c r="B1" s="31"/>
      <c r="C1" s="31"/>
      <c r="D1" s="31"/>
      <c r="E1" s="31"/>
      <c r="F1" s="31"/>
      <c r="G1" s="31"/>
      <c r="H1" s="31"/>
    </row>
    <row r="2" spans="1:8">
      <c r="A2" s="31"/>
      <c r="B2" s="31"/>
      <c r="C2" s="31"/>
      <c r="D2" s="31"/>
      <c r="E2" s="31"/>
      <c r="F2" s="31"/>
      <c r="G2" s="31"/>
      <c r="H2" s="31"/>
    </row>
    <row r="3" spans="1:8">
      <c r="A3" s="31"/>
      <c r="B3" s="31"/>
      <c r="C3" s="31"/>
      <c r="D3" s="31"/>
      <c r="E3" s="31"/>
      <c r="F3" s="31"/>
      <c r="G3" s="31"/>
      <c r="H3" s="31"/>
    </row>
    <row r="4" spans="1:8">
      <c r="A4" s="31"/>
      <c r="B4" s="31"/>
      <c r="C4" s="31"/>
      <c r="D4" s="31"/>
      <c r="E4" s="31"/>
      <c r="F4" s="31"/>
      <c r="G4" s="31"/>
      <c r="H4" s="31"/>
    </row>
    <row r="5" spans="1:8">
      <c r="A5" s="32" t="s">
        <v>1</v>
      </c>
      <c r="B5" s="32"/>
      <c r="C5" s="32"/>
      <c r="D5" s="32"/>
      <c r="E5" s="32"/>
      <c r="F5" s="32"/>
      <c r="G5" s="32"/>
      <c r="H5" s="32"/>
    </row>
    <row r="7" spans="1:8" ht="15">
      <c r="A7" s="33" t="s">
        <v>2</v>
      </c>
      <c r="B7" s="33"/>
      <c r="C7" s="33"/>
      <c r="D7" s="33"/>
      <c r="E7" s="33"/>
      <c r="F7" s="33"/>
      <c r="G7" s="33"/>
      <c r="H7" s="33"/>
    </row>
    <row r="8" spans="1:8" ht="26.1" customHeight="1">
      <c r="A8" s="34" t="s">
        <v>3</v>
      </c>
      <c r="B8" s="35"/>
      <c r="C8" s="40" t="s">
        <v>4</v>
      </c>
      <c r="D8" s="41"/>
      <c r="E8" s="46" t="s">
        <v>5</v>
      </c>
      <c r="F8" s="47"/>
      <c r="G8" s="52" t="s">
        <v>6</v>
      </c>
      <c r="H8" s="53"/>
    </row>
    <row r="9" spans="1:8" ht="26.1" customHeight="1">
      <c r="A9" s="36">
        <f>COUNTA('Source - DVF'!A7:A40)</f>
        <v>18</v>
      </c>
      <c r="B9" s="37"/>
      <c r="C9" s="42">
        <f>COUNTA('Source - Géographie'!A7:A30)</f>
        <v>6</v>
      </c>
      <c r="D9" s="43"/>
      <c r="E9" s="48">
        <f>COUNTA('Source - Population'!A7:A30)</f>
        <v>5</v>
      </c>
      <c r="F9" s="49"/>
      <c r="G9" s="54">
        <f>COUNTA('Modèle final'!B7:B80)</f>
        <v>33</v>
      </c>
      <c r="H9" s="55"/>
    </row>
    <row r="10" spans="1:8" ht="26.1" customHeight="1">
      <c r="A10" s="38"/>
      <c r="B10" s="39"/>
      <c r="C10" s="44"/>
      <c r="D10" s="45"/>
      <c r="E10" s="50"/>
      <c r="F10" s="51"/>
      <c r="G10" s="56"/>
      <c r="H10" s="57"/>
    </row>
    <row r="12" spans="1:8" ht="15">
      <c r="A12" s="33" t="s">
        <v>7</v>
      </c>
      <c r="B12" s="33"/>
      <c r="C12" s="33"/>
      <c r="D12" s="33"/>
      <c r="E12" s="33"/>
      <c r="F12" s="33"/>
      <c r="G12" s="33"/>
      <c r="H12" s="33"/>
    </row>
    <row r="14" spans="1:8" ht="32.1" customHeight="1">
      <c r="A14" s="58" t="s">
        <v>8</v>
      </c>
      <c r="B14" s="58"/>
      <c r="C14" s="58" t="s">
        <v>9</v>
      </c>
      <c r="D14" s="58"/>
      <c r="E14" s="58"/>
      <c r="F14" s="58" t="s">
        <v>10</v>
      </c>
      <c r="G14" s="58"/>
      <c r="H14" s="58"/>
    </row>
    <row r="15" spans="1:8" ht="32.1" customHeight="1">
      <c r="A15" s="59" t="s">
        <v>11</v>
      </c>
      <c r="B15" s="59"/>
      <c r="C15" s="60" t="s">
        <v>12</v>
      </c>
      <c r="D15" s="60"/>
      <c r="E15" s="60"/>
      <c r="F15" s="61" t="s">
        <v>13</v>
      </c>
      <c r="G15" s="61"/>
      <c r="H15" s="61"/>
    </row>
    <row r="16" spans="1:8" ht="32.1" customHeight="1">
      <c r="A16" s="62" t="s">
        <v>14</v>
      </c>
      <c r="B16" s="62"/>
      <c r="C16" s="63" t="s">
        <v>15</v>
      </c>
      <c r="D16" s="63"/>
      <c r="E16" s="63"/>
      <c r="F16" s="64" t="s">
        <v>16</v>
      </c>
      <c r="G16" s="64"/>
      <c r="H16" s="64"/>
    </row>
    <row r="17" spans="1:8" ht="32.1" customHeight="1">
      <c r="A17" s="62" t="s">
        <v>17</v>
      </c>
      <c r="B17" s="62"/>
      <c r="C17" s="63" t="s">
        <v>18</v>
      </c>
      <c r="D17" s="63"/>
      <c r="E17" s="63"/>
      <c r="F17" s="64" t="s">
        <v>19</v>
      </c>
      <c r="G17" s="64"/>
      <c r="H17" s="64"/>
    </row>
    <row r="18" spans="1:8" ht="32.1" customHeight="1">
      <c r="A18" s="62" t="s">
        <v>20</v>
      </c>
      <c r="B18" s="62"/>
      <c r="C18" s="63" t="s">
        <v>21</v>
      </c>
      <c r="D18" s="63"/>
      <c r="E18" s="63"/>
      <c r="F18" s="64" t="s">
        <v>22</v>
      </c>
      <c r="G18" s="64"/>
      <c r="H18" s="64"/>
    </row>
    <row r="19" spans="1:8" ht="32.1" customHeight="1">
      <c r="A19" s="65" t="s">
        <v>23</v>
      </c>
      <c r="B19" s="65"/>
      <c r="C19" s="66" t="s">
        <v>24</v>
      </c>
      <c r="D19" s="66"/>
      <c r="E19" s="66"/>
      <c r="F19" s="67" t="s">
        <v>25</v>
      </c>
      <c r="G19" s="67"/>
      <c r="H19" s="67"/>
    </row>
    <row r="20" spans="1:8" ht="32.1" customHeight="1">
      <c r="A20" s="68" t="s">
        <v>26</v>
      </c>
      <c r="B20" s="68"/>
      <c r="C20" s="68" t="s">
        <v>27</v>
      </c>
      <c r="D20" s="68"/>
      <c r="E20" s="68"/>
      <c r="F20" s="68" t="s">
        <v>28</v>
      </c>
      <c r="G20" s="68"/>
      <c r="H20" s="68"/>
    </row>
    <row r="22" spans="1:8" ht="15">
      <c r="A22" s="33" t="s">
        <v>29</v>
      </c>
      <c r="B22" s="33"/>
      <c r="C22" s="33"/>
      <c r="D22" s="33"/>
      <c r="E22" s="33"/>
      <c r="F22" s="33"/>
      <c r="G22" s="33"/>
      <c r="H22" s="33"/>
    </row>
    <row r="24" spans="1:8" ht="27.95" customHeight="1">
      <c r="A24" s="1" t="s">
        <v>30</v>
      </c>
      <c r="B24" s="69" t="s">
        <v>31</v>
      </c>
      <c r="C24" s="69"/>
      <c r="D24" s="69"/>
      <c r="E24" s="69"/>
      <c r="F24" s="69"/>
      <c r="G24" s="69"/>
      <c r="H24" s="69"/>
    </row>
    <row r="25" spans="1:8" ht="27.95" customHeight="1">
      <c r="A25" s="1" t="s">
        <v>32</v>
      </c>
      <c r="B25" s="70" t="s">
        <v>33</v>
      </c>
      <c r="C25" s="70"/>
      <c r="D25" s="70"/>
      <c r="E25" s="70"/>
      <c r="F25" s="70"/>
      <c r="G25" s="70"/>
      <c r="H25" s="70"/>
    </row>
    <row r="26" spans="1:8" ht="27.95" customHeight="1">
      <c r="A26" s="1" t="s">
        <v>34</v>
      </c>
      <c r="B26" s="70" t="s">
        <v>35</v>
      </c>
      <c r="C26" s="70"/>
      <c r="D26" s="70"/>
      <c r="E26" s="70"/>
      <c r="F26" s="70"/>
      <c r="G26" s="70"/>
      <c r="H26" s="70"/>
    </row>
    <row r="27" spans="1:8" ht="27.95" customHeight="1">
      <c r="A27" s="1" t="s">
        <v>36</v>
      </c>
      <c r="B27" s="71" t="s">
        <v>37</v>
      </c>
      <c r="C27" s="71"/>
      <c r="D27" s="71"/>
      <c r="E27" s="71"/>
      <c r="F27" s="71"/>
      <c r="G27" s="71"/>
      <c r="H27" s="71"/>
    </row>
  </sheetData>
  <mergeCells count="38">
    <mergeCell ref="B25:H25"/>
    <mergeCell ref="B26:H26"/>
    <mergeCell ref="B27:H27"/>
    <mergeCell ref="A20:B20"/>
    <mergeCell ref="C20:E20"/>
    <mergeCell ref="F20:H20"/>
    <mergeCell ref="A22:H22"/>
    <mergeCell ref="B24:H24"/>
    <mergeCell ref="A18:B18"/>
    <mergeCell ref="C18:E18"/>
    <mergeCell ref="F18:H18"/>
    <mergeCell ref="A19:B19"/>
    <mergeCell ref="C19:E19"/>
    <mergeCell ref="F19:H19"/>
    <mergeCell ref="A16:B16"/>
    <mergeCell ref="C16:E16"/>
    <mergeCell ref="F16:H16"/>
    <mergeCell ref="A17:B17"/>
    <mergeCell ref="C17:E17"/>
    <mergeCell ref="F17:H17"/>
    <mergeCell ref="A12:H12"/>
    <mergeCell ref="A14:B14"/>
    <mergeCell ref="C14:E14"/>
    <mergeCell ref="F14:H14"/>
    <mergeCell ref="A15:B15"/>
    <mergeCell ref="C15:E15"/>
    <mergeCell ref="F15:H15"/>
    <mergeCell ref="A1:H4"/>
    <mergeCell ref="A5:H5"/>
    <mergeCell ref="A7:H7"/>
    <mergeCell ref="A8:B8"/>
    <mergeCell ref="A9:B10"/>
    <mergeCell ref="C8:D8"/>
    <mergeCell ref="C9:D10"/>
    <mergeCell ref="E8:F8"/>
    <mergeCell ref="E9:F10"/>
    <mergeCell ref="G8:H8"/>
    <mergeCell ref="G9:H10"/>
  </mergeCell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4"/>
  <sheetViews>
    <sheetView showGridLines="0" workbookViewId="0">
      <selection activeCell="G26" sqref="G26"/>
    </sheetView>
  </sheetViews>
  <sheetFormatPr baseColWidth="10" defaultColWidth="9" defaultRowHeight="14.25"/>
  <cols>
    <col min="1" max="1" width="27" customWidth="1"/>
    <col min="2" max="2" width="42" customWidth="1"/>
    <col min="3" max="3" width="17" customWidth="1"/>
    <col min="4" max="4" width="13" customWidth="1"/>
    <col min="5" max="5" width="18" customWidth="1"/>
    <col min="6" max="7" width="55" customWidth="1"/>
  </cols>
  <sheetData>
    <row r="1" spans="1:7" ht="27.95" customHeight="1">
      <c r="A1" s="72" t="s">
        <v>38</v>
      </c>
      <c r="B1" s="72"/>
      <c r="C1" s="72"/>
      <c r="D1" s="72"/>
      <c r="E1" s="72"/>
      <c r="F1" s="72"/>
      <c r="G1" s="72"/>
    </row>
    <row r="2" spans="1:7" ht="18" customHeight="1">
      <c r="A2" s="72"/>
      <c r="B2" s="72"/>
      <c r="C2" s="72"/>
      <c r="D2" s="72"/>
      <c r="E2" s="72"/>
      <c r="F2" s="72"/>
      <c r="G2" s="72"/>
    </row>
    <row r="3" spans="1:7" ht="24" customHeight="1">
      <c r="A3" s="73" t="s">
        <v>39</v>
      </c>
      <c r="B3" s="73"/>
      <c r="C3" s="73"/>
      <c r="D3" s="73"/>
      <c r="E3" s="73"/>
      <c r="F3" s="73"/>
      <c r="G3" s="73"/>
    </row>
    <row r="4" spans="1:7">
      <c r="A4" s="74" t="s">
        <v>40</v>
      </c>
      <c r="B4" s="74"/>
      <c r="C4" s="74"/>
      <c r="D4" s="74"/>
      <c r="E4" s="74"/>
      <c r="F4" s="74"/>
      <c r="G4" s="74"/>
    </row>
    <row r="6" spans="1:7" ht="33.950000000000003" customHeight="1">
      <c r="A6" s="2" t="s">
        <v>41</v>
      </c>
      <c r="B6" s="3" t="s">
        <v>42</v>
      </c>
      <c r="C6" s="3" t="s">
        <v>43</v>
      </c>
      <c r="D6" s="3" t="s">
        <v>44</v>
      </c>
      <c r="E6" s="3" t="s">
        <v>45</v>
      </c>
      <c r="F6" s="3" t="s">
        <v>46</v>
      </c>
      <c r="G6" s="4" t="s">
        <v>47</v>
      </c>
    </row>
    <row r="7" spans="1:7" ht="48" customHeight="1">
      <c r="A7" s="11" t="s">
        <v>48</v>
      </c>
      <c r="B7" s="5" t="s">
        <v>49</v>
      </c>
      <c r="C7" s="14" t="s">
        <v>50</v>
      </c>
      <c r="D7" s="14" t="s">
        <v>30</v>
      </c>
      <c r="E7" s="14" t="s">
        <v>51</v>
      </c>
      <c r="F7" s="5" t="s">
        <v>303</v>
      </c>
      <c r="G7" s="6" t="s">
        <v>52</v>
      </c>
    </row>
    <row r="8" spans="1:7" ht="48" customHeight="1">
      <c r="A8" s="12" t="s">
        <v>53</v>
      </c>
      <c r="B8" s="7" t="s">
        <v>54</v>
      </c>
      <c r="C8" s="15" t="s">
        <v>55</v>
      </c>
      <c r="D8" s="15" t="s">
        <v>56</v>
      </c>
      <c r="E8" s="15" t="s">
        <v>51</v>
      </c>
      <c r="F8" s="7" t="s">
        <v>304</v>
      </c>
      <c r="G8" s="8" t="s">
        <v>57</v>
      </c>
    </row>
    <row r="9" spans="1:7" ht="48" customHeight="1">
      <c r="A9" s="12" t="s">
        <v>58</v>
      </c>
      <c r="B9" s="7" t="s">
        <v>59</v>
      </c>
      <c r="C9" s="15" t="s">
        <v>60</v>
      </c>
      <c r="D9" s="15" t="s">
        <v>61</v>
      </c>
      <c r="E9" s="15" t="s">
        <v>51</v>
      </c>
      <c r="F9" s="7" t="s">
        <v>305</v>
      </c>
      <c r="G9" s="8" t="s">
        <v>62</v>
      </c>
    </row>
    <row r="10" spans="1:7" ht="48" customHeight="1">
      <c r="A10" s="12" t="s">
        <v>63</v>
      </c>
      <c r="B10" s="7" t="s">
        <v>64</v>
      </c>
      <c r="C10" s="15" t="s">
        <v>65</v>
      </c>
      <c r="D10" s="15" t="s">
        <v>66</v>
      </c>
      <c r="E10" s="15" t="s">
        <v>51</v>
      </c>
      <c r="F10" s="7" t="s">
        <v>306</v>
      </c>
      <c r="G10" s="8" t="s">
        <v>67</v>
      </c>
    </row>
    <row r="11" spans="1:7" ht="48" customHeight="1">
      <c r="A11" s="12" t="s">
        <v>68</v>
      </c>
      <c r="B11" s="7" t="s">
        <v>69</v>
      </c>
      <c r="C11" s="15" t="s">
        <v>50</v>
      </c>
      <c r="D11" s="15" t="s">
        <v>36</v>
      </c>
      <c r="E11" s="15" t="s">
        <v>51</v>
      </c>
      <c r="F11" s="7" t="s">
        <v>307</v>
      </c>
      <c r="G11" s="8" t="s">
        <v>70</v>
      </c>
    </row>
    <row r="12" spans="1:7" ht="48" customHeight="1">
      <c r="A12" s="12" t="s">
        <v>71</v>
      </c>
      <c r="B12" s="7" t="s">
        <v>72</v>
      </c>
      <c r="C12" s="15" t="s">
        <v>60</v>
      </c>
      <c r="D12" s="15" t="s">
        <v>30</v>
      </c>
      <c r="E12" s="15" t="s">
        <v>51</v>
      </c>
      <c r="F12" s="7" t="s">
        <v>308</v>
      </c>
      <c r="G12" s="8" t="s">
        <v>73</v>
      </c>
    </row>
    <row r="13" spans="1:7" ht="48" customHeight="1">
      <c r="A13" s="12" t="s">
        <v>74</v>
      </c>
      <c r="B13" s="7" t="s">
        <v>75</v>
      </c>
      <c r="C13" s="15" t="s">
        <v>60</v>
      </c>
      <c r="D13" s="15" t="s">
        <v>36</v>
      </c>
      <c r="E13" s="15" t="s">
        <v>51</v>
      </c>
      <c r="F13" s="7" t="s">
        <v>309</v>
      </c>
      <c r="G13" s="8" t="s">
        <v>76</v>
      </c>
    </row>
    <row r="14" spans="1:7" ht="48" customHeight="1">
      <c r="A14" s="12" t="s">
        <v>77</v>
      </c>
      <c r="B14" s="7" t="s">
        <v>78</v>
      </c>
      <c r="C14" s="15" t="s">
        <v>60</v>
      </c>
      <c r="D14" s="15" t="s">
        <v>79</v>
      </c>
      <c r="E14" s="15" t="s">
        <v>51</v>
      </c>
      <c r="F14" s="7" t="s">
        <v>310</v>
      </c>
      <c r="G14" s="8" t="s">
        <v>80</v>
      </c>
    </row>
    <row r="15" spans="1:7" ht="48" customHeight="1">
      <c r="A15" s="12" t="s">
        <v>81</v>
      </c>
      <c r="B15" s="7" t="s">
        <v>82</v>
      </c>
      <c r="C15" s="15" t="s">
        <v>60</v>
      </c>
      <c r="D15" s="15" t="s">
        <v>61</v>
      </c>
      <c r="E15" s="15" t="s">
        <v>51</v>
      </c>
      <c r="F15" s="7" t="s">
        <v>311</v>
      </c>
      <c r="G15" s="8" t="s">
        <v>83</v>
      </c>
    </row>
    <row r="16" spans="1:7" ht="48" customHeight="1">
      <c r="A16" s="12" t="s">
        <v>84</v>
      </c>
      <c r="B16" s="7" t="s">
        <v>85</v>
      </c>
      <c r="C16" s="15" t="s">
        <v>60</v>
      </c>
      <c r="D16" s="15" t="s">
        <v>34</v>
      </c>
      <c r="E16" s="15" t="s">
        <v>51</v>
      </c>
      <c r="F16" s="7" t="s">
        <v>312</v>
      </c>
      <c r="G16" s="8" t="s">
        <v>86</v>
      </c>
    </row>
    <row r="17" spans="1:7" ht="48" customHeight="1">
      <c r="A17" s="12" t="s">
        <v>87</v>
      </c>
      <c r="B17" s="7" t="s">
        <v>88</v>
      </c>
      <c r="C17" s="15" t="s">
        <v>60</v>
      </c>
      <c r="D17" s="15" t="s">
        <v>34</v>
      </c>
      <c r="E17" s="15" t="s">
        <v>51</v>
      </c>
      <c r="F17" s="7" t="s">
        <v>300</v>
      </c>
      <c r="G17" s="8" t="s">
        <v>317</v>
      </c>
    </row>
    <row r="18" spans="1:7" ht="48" customHeight="1">
      <c r="A18" s="12" t="s">
        <v>89</v>
      </c>
      <c r="B18" s="7" t="s">
        <v>90</v>
      </c>
      <c r="C18" s="15" t="s">
        <v>65</v>
      </c>
      <c r="D18" s="15" t="s">
        <v>91</v>
      </c>
      <c r="E18" s="15" t="s">
        <v>51</v>
      </c>
      <c r="F18" s="7" t="s">
        <v>313</v>
      </c>
      <c r="G18" s="8" t="s">
        <v>92</v>
      </c>
    </row>
    <row r="19" spans="1:7" ht="48" customHeight="1">
      <c r="A19" s="12" t="s">
        <v>93</v>
      </c>
      <c r="B19" s="7" t="s">
        <v>94</v>
      </c>
      <c r="C19" s="15" t="s">
        <v>50</v>
      </c>
      <c r="D19" s="15" t="s">
        <v>32</v>
      </c>
      <c r="E19" s="15" t="s">
        <v>51</v>
      </c>
      <c r="F19" s="7" t="s">
        <v>95</v>
      </c>
      <c r="G19" s="8" t="s">
        <v>96</v>
      </c>
    </row>
    <row r="20" spans="1:7" ht="48" customHeight="1">
      <c r="A20" s="12" t="s">
        <v>97</v>
      </c>
      <c r="B20" s="7" t="s">
        <v>98</v>
      </c>
      <c r="C20" s="15" t="s">
        <v>50</v>
      </c>
      <c r="D20" s="15" t="s">
        <v>30</v>
      </c>
      <c r="E20" s="15" t="s">
        <v>51</v>
      </c>
      <c r="F20" s="7" t="s">
        <v>314</v>
      </c>
      <c r="G20" s="8" t="s">
        <v>99</v>
      </c>
    </row>
    <row r="21" spans="1:7" ht="48" customHeight="1">
      <c r="A21" s="12" t="s">
        <v>100</v>
      </c>
      <c r="B21" s="7" t="s">
        <v>101</v>
      </c>
      <c r="C21" s="15" t="s">
        <v>60</v>
      </c>
      <c r="D21" s="15" t="s">
        <v>102</v>
      </c>
      <c r="E21" s="15" t="s">
        <v>51</v>
      </c>
      <c r="F21" s="7" t="s">
        <v>315</v>
      </c>
      <c r="G21" s="8" t="s">
        <v>103</v>
      </c>
    </row>
    <row r="22" spans="1:7" ht="48" customHeight="1">
      <c r="A22" s="12" t="s">
        <v>104</v>
      </c>
      <c r="B22" s="7" t="s">
        <v>105</v>
      </c>
      <c r="C22" s="15" t="s">
        <v>65</v>
      </c>
      <c r="D22" s="15" t="s">
        <v>91</v>
      </c>
      <c r="E22" s="15" t="s">
        <v>51</v>
      </c>
      <c r="F22" s="7" t="s">
        <v>316</v>
      </c>
      <c r="G22" s="8" t="s">
        <v>106</v>
      </c>
    </row>
    <row r="23" spans="1:7" ht="48" customHeight="1">
      <c r="A23" s="12" t="s">
        <v>107</v>
      </c>
      <c r="B23" s="7" t="s">
        <v>108</v>
      </c>
      <c r="C23" s="15" t="s">
        <v>50</v>
      </c>
      <c r="D23" s="15" t="s">
        <v>32</v>
      </c>
      <c r="E23" s="15" t="s">
        <v>51</v>
      </c>
      <c r="F23" s="7" t="s">
        <v>301</v>
      </c>
      <c r="G23" s="8" t="s">
        <v>109</v>
      </c>
    </row>
    <row r="24" spans="1:7" ht="48" customHeight="1">
      <c r="A24" s="13" t="s">
        <v>110</v>
      </c>
      <c r="B24" s="9" t="s">
        <v>111</v>
      </c>
      <c r="C24" s="16" t="s">
        <v>60</v>
      </c>
      <c r="D24" s="16" t="s">
        <v>112</v>
      </c>
      <c r="E24" s="16" t="s">
        <v>113</v>
      </c>
      <c r="F24" s="9" t="s">
        <v>114</v>
      </c>
      <c r="G24" s="10" t="s">
        <v>115</v>
      </c>
    </row>
  </sheetData>
  <mergeCells count="3">
    <mergeCell ref="A1:G2"/>
    <mergeCell ref="A3:G3"/>
    <mergeCell ref="A4:G4"/>
  </mergeCells>
  <conditionalFormatting sqref="E7:E24">
    <cfRule type="containsText" dxfId="7" priority="1" operator="containsText" text="Exclue"/>
    <cfRule type="containsText" dxfId="6" priority="2" operator="containsText" text="Calculée"/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2"/>
  <sheetViews>
    <sheetView showGridLines="0" workbookViewId="0">
      <selection activeCell="F7" sqref="F7"/>
    </sheetView>
  </sheetViews>
  <sheetFormatPr baseColWidth="10" defaultColWidth="9" defaultRowHeight="14.25"/>
  <cols>
    <col min="1" max="1" width="27" customWidth="1"/>
    <col min="2" max="2" width="42" customWidth="1"/>
    <col min="3" max="3" width="17" customWidth="1"/>
    <col min="4" max="4" width="13" customWidth="1"/>
    <col min="5" max="5" width="18" customWidth="1"/>
    <col min="6" max="7" width="55" customWidth="1"/>
  </cols>
  <sheetData>
    <row r="1" spans="1:7" ht="27.95" customHeight="1">
      <c r="A1" s="72" t="s">
        <v>116</v>
      </c>
      <c r="B1" s="72"/>
      <c r="C1" s="72"/>
      <c r="D1" s="72"/>
      <c r="E1" s="72"/>
      <c r="F1" s="72"/>
      <c r="G1" s="72"/>
    </row>
    <row r="2" spans="1:7" ht="18" customHeight="1">
      <c r="A2" s="72"/>
      <c r="B2" s="72"/>
      <c r="C2" s="72"/>
      <c r="D2" s="72"/>
      <c r="E2" s="72"/>
      <c r="F2" s="72"/>
      <c r="G2" s="72"/>
    </row>
    <row r="3" spans="1:7" ht="24" customHeight="1">
      <c r="A3" s="73" t="s">
        <v>117</v>
      </c>
      <c r="B3" s="73"/>
      <c r="C3" s="73"/>
      <c r="D3" s="73"/>
      <c r="E3" s="73"/>
      <c r="F3" s="73"/>
      <c r="G3" s="73"/>
    </row>
    <row r="4" spans="1:7">
      <c r="A4" s="74" t="s">
        <v>118</v>
      </c>
      <c r="B4" s="74"/>
      <c r="C4" s="74"/>
      <c r="D4" s="74"/>
      <c r="E4" s="74"/>
      <c r="F4" s="74"/>
      <c r="G4" s="74"/>
    </row>
    <row r="6" spans="1:7" ht="33.950000000000003" customHeight="1">
      <c r="A6" s="2" t="s">
        <v>41</v>
      </c>
      <c r="B6" s="3" t="s">
        <v>42</v>
      </c>
      <c r="C6" s="3" t="s">
        <v>43</v>
      </c>
      <c r="D6" s="3" t="s">
        <v>44</v>
      </c>
      <c r="E6" s="3" t="s">
        <v>45</v>
      </c>
      <c r="F6" s="3" t="s">
        <v>46</v>
      </c>
      <c r="G6" s="4" t="s">
        <v>47</v>
      </c>
    </row>
    <row r="7" spans="1:7" ht="48" customHeight="1">
      <c r="A7" s="11" t="s">
        <v>119</v>
      </c>
      <c r="B7" s="5" t="s">
        <v>120</v>
      </c>
      <c r="C7" s="14" t="s">
        <v>60</v>
      </c>
      <c r="D7" s="14" t="s">
        <v>32</v>
      </c>
      <c r="E7" s="14" t="s">
        <v>51</v>
      </c>
      <c r="F7" s="5" t="s">
        <v>299</v>
      </c>
      <c r="G7" s="6" t="s">
        <v>121</v>
      </c>
    </row>
    <row r="8" spans="1:7" ht="48" customHeight="1">
      <c r="A8" s="12" t="s">
        <v>122</v>
      </c>
      <c r="B8" s="7" t="s">
        <v>123</v>
      </c>
      <c r="C8" s="15" t="s">
        <v>60</v>
      </c>
      <c r="D8" s="15" t="s">
        <v>124</v>
      </c>
      <c r="E8" s="15" t="s">
        <v>51</v>
      </c>
      <c r="F8" s="7" t="s">
        <v>298</v>
      </c>
      <c r="G8" s="8" t="s">
        <v>125</v>
      </c>
    </row>
    <row r="9" spans="1:7" ht="48" customHeight="1">
      <c r="A9" s="12" t="s">
        <v>126</v>
      </c>
      <c r="B9" s="7" t="s">
        <v>127</v>
      </c>
      <c r="C9" s="15" t="s">
        <v>60</v>
      </c>
      <c r="D9" s="15" t="s">
        <v>34</v>
      </c>
      <c r="E9" s="15" t="s">
        <v>51</v>
      </c>
      <c r="F9" s="7" t="s">
        <v>297</v>
      </c>
      <c r="G9" s="8" t="s">
        <v>128</v>
      </c>
    </row>
    <row r="10" spans="1:7" ht="48" customHeight="1">
      <c r="A10" s="12" t="s">
        <v>129</v>
      </c>
      <c r="B10" s="7" t="s">
        <v>130</v>
      </c>
      <c r="C10" s="15" t="s">
        <v>60</v>
      </c>
      <c r="D10" s="15" t="s">
        <v>124</v>
      </c>
      <c r="E10" s="15" t="s">
        <v>51</v>
      </c>
      <c r="F10" s="7" t="s">
        <v>296</v>
      </c>
      <c r="G10" s="8" t="s">
        <v>131</v>
      </c>
    </row>
    <row r="11" spans="1:7" ht="48" customHeight="1">
      <c r="A11" s="12" t="s">
        <v>132</v>
      </c>
      <c r="B11" s="7" t="s">
        <v>133</v>
      </c>
      <c r="C11" s="15" t="s">
        <v>60</v>
      </c>
      <c r="D11" s="15" t="s">
        <v>134</v>
      </c>
      <c r="E11" s="15" t="s">
        <v>51</v>
      </c>
      <c r="F11" s="7" t="s">
        <v>295</v>
      </c>
      <c r="G11" s="8" t="s">
        <v>135</v>
      </c>
    </row>
    <row r="12" spans="1:7" ht="48" customHeight="1">
      <c r="A12" s="13" t="s">
        <v>136</v>
      </c>
      <c r="B12" s="9" t="s">
        <v>137</v>
      </c>
      <c r="C12" s="16" t="s">
        <v>60</v>
      </c>
      <c r="D12" s="16" t="s">
        <v>138</v>
      </c>
      <c r="E12" s="16" t="s">
        <v>51</v>
      </c>
      <c r="F12" s="9" t="s">
        <v>294</v>
      </c>
      <c r="G12" s="10" t="s">
        <v>139</v>
      </c>
    </row>
  </sheetData>
  <mergeCells count="3">
    <mergeCell ref="A1:G2"/>
    <mergeCell ref="A3:G3"/>
    <mergeCell ref="A4:G4"/>
  </mergeCells>
  <conditionalFormatting sqref="E7:E12">
    <cfRule type="containsText" dxfId="5" priority="1" operator="containsText" text="Exclue"/>
    <cfRule type="containsText" dxfId="4" priority="2" operator="containsText" text="Calculée"/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1"/>
  <sheetViews>
    <sheetView showGridLines="0" workbookViewId="0">
      <selection activeCell="F11" sqref="F11"/>
    </sheetView>
  </sheetViews>
  <sheetFormatPr baseColWidth="10" defaultColWidth="9" defaultRowHeight="14.25"/>
  <cols>
    <col min="1" max="1" width="27" customWidth="1"/>
    <col min="2" max="2" width="42" customWidth="1"/>
    <col min="3" max="3" width="17" customWidth="1"/>
    <col min="4" max="4" width="13" customWidth="1"/>
    <col min="5" max="5" width="18" customWidth="1"/>
    <col min="6" max="7" width="55" customWidth="1"/>
  </cols>
  <sheetData>
    <row r="1" spans="1:7" ht="27.95" customHeight="1">
      <c r="A1" s="72" t="s">
        <v>140</v>
      </c>
      <c r="B1" s="72"/>
      <c r="C1" s="72"/>
      <c r="D1" s="72"/>
      <c r="E1" s="72"/>
      <c r="F1" s="72"/>
      <c r="G1" s="72"/>
    </row>
    <row r="2" spans="1:7" ht="18" customHeight="1">
      <c r="A2" s="72"/>
      <c r="B2" s="72"/>
      <c r="C2" s="72"/>
      <c r="D2" s="72"/>
      <c r="E2" s="72"/>
      <c r="F2" s="72"/>
      <c r="G2" s="72"/>
    </row>
    <row r="3" spans="1:7" ht="24" customHeight="1">
      <c r="A3" s="73" t="s">
        <v>141</v>
      </c>
      <c r="B3" s="73"/>
      <c r="C3" s="73"/>
      <c r="D3" s="73"/>
      <c r="E3" s="73"/>
      <c r="F3" s="73"/>
      <c r="G3" s="73"/>
    </row>
    <row r="4" spans="1:7">
      <c r="A4" s="74" t="s">
        <v>142</v>
      </c>
      <c r="B4" s="74"/>
      <c r="C4" s="74"/>
      <c r="D4" s="74"/>
      <c r="E4" s="74"/>
      <c r="F4" s="74"/>
      <c r="G4" s="74"/>
    </row>
    <row r="6" spans="1:7" ht="33.950000000000003" customHeight="1">
      <c r="A6" s="2" t="s">
        <v>41</v>
      </c>
      <c r="B6" s="3" t="s">
        <v>42</v>
      </c>
      <c r="C6" s="3" t="s">
        <v>43</v>
      </c>
      <c r="D6" s="3" t="s">
        <v>44</v>
      </c>
      <c r="E6" s="3" t="s">
        <v>45</v>
      </c>
      <c r="F6" s="3" t="s">
        <v>46</v>
      </c>
      <c r="G6" s="4" t="s">
        <v>47</v>
      </c>
    </row>
    <row r="7" spans="1:7" ht="48" customHeight="1">
      <c r="A7" s="11" t="s">
        <v>143</v>
      </c>
      <c r="B7" s="5" t="s">
        <v>144</v>
      </c>
      <c r="C7" s="14" t="s">
        <v>60</v>
      </c>
      <c r="D7" s="14" t="s">
        <v>34</v>
      </c>
      <c r="E7" s="14" t="s">
        <v>51</v>
      </c>
      <c r="F7" s="5" t="s">
        <v>300</v>
      </c>
      <c r="G7" s="6" t="s">
        <v>145</v>
      </c>
    </row>
    <row r="8" spans="1:7" ht="48" customHeight="1">
      <c r="A8" s="12" t="s">
        <v>146</v>
      </c>
      <c r="B8" s="7" t="s">
        <v>88</v>
      </c>
      <c r="C8" s="15" t="s">
        <v>60</v>
      </c>
      <c r="D8" s="15" t="s">
        <v>34</v>
      </c>
      <c r="E8" s="15" t="s">
        <v>51</v>
      </c>
      <c r="F8" s="7" t="s">
        <v>300</v>
      </c>
      <c r="G8" s="8" t="s">
        <v>147</v>
      </c>
    </row>
    <row r="9" spans="1:7" ht="48" customHeight="1">
      <c r="A9" s="12" t="s">
        <v>148</v>
      </c>
      <c r="B9" s="7" t="s">
        <v>149</v>
      </c>
      <c r="C9" s="15" t="s">
        <v>50</v>
      </c>
      <c r="D9" s="15" t="s">
        <v>134</v>
      </c>
      <c r="E9" s="15" t="s">
        <v>51</v>
      </c>
      <c r="F9" s="7" t="s">
        <v>301</v>
      </c>
      <c r="G9" s="8" t="s">
        <v>150</v>
      </c>
    </row>
    <row r="10" spans="1:7" ht="48" customHeight="1">
      <c r="A10" s="12" t="s">
        <v>151</v>
      </c>
      <c r="B10" s="7" t="s">
        <v>152</v>
      </c>
      <c r="C10" s="15" t="s">
        <v>50</v>
      </c>
      <c r="D10" s="15" t="s">
        <v>36</v>
      </c>
      <c r="E10" s="15" t="s">
        <v>51</v>
      </c>
      <c r="F10" s="7" t="s">
        <v>301</v>
      </c>
      <c r="G10" s="8" t="s">
        <v>153</v>
      </c>
    </row>
    <row r="11" spans="1:7" ht="48" customHeight="1">
      <c r="A11" s="13" t="s">
        <v>154</v>
      </c>
      <c r="B11" s="9" t="s">
        <v>155</v>
      </c>
      <c r="C11" s="16" t="s">
        <v>50</v>
      </c>
      <c r="D11" s="16" t="s">
        <v>134</v>
      </c>
      <c r="E11" s="16" t="s">
        <v>156</v>
      </c>
      <c r="F11" s="9" t="s">
        <v>302</v>
      </c>
      <c r="G11" s="10" t="s">
        <v>157</v>
      </c>
    </row>
  </sheetData>
  <mergeCells count="3">
    <mergeCell ref="A1:G2"/>
    <mergeCell ref="A3:G3"/>
    <mergeCell ref="A4:G4"/>
  </mergeCells>
  <conditionalFormatting sqref="E7:E11">
    <cfRule type="containsText" dxfId="3" priority="1" operator="containsText" text="Exclue"/>
    <cfRule type="containsText" dxfId="2" priority="2" operator="containsText" text="Calculée"/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9"/>
  <sheetViews>
    <sheetView showGridLines="0" workbookViewId="0">
      <selection activeCell="I42" sqref="I42"/>
    </sheetView>
  </sheetViews>
  <sheetFormatPr baseColWidth="10" defaultColWidth="9" defaultRowHeight="14.25"/>
  <cols>
    <col min="1" max="1" width="22" customWidth="1"/>
    <col min="2" max="2" width="31" customWidth="1"/>
    <col min="3" max="3" width="40" customWidth="1"/>
    <col min="4" max="4" width="20" customWidth="1"/>
    <col min="5" max="5" width="13" customWidth="1"/>
    <col min="6" max="6" width="18" customWidth="1"/>
    <col min="7" max="7" width="13" customWidth="1"/>
    <col min="8" max="8" width="34" customWidth="1"/>
    <col min="9" max="9" width="53" customWidth="1"/>
    <col min="10" max="10" width="55" customWidth="1"/>
  </cols>
  <sheetData>
    <row r="1" spans="1:10" ht="27.95" customHeight="1">
      <c r="A1" s="72" t="s">
        <v>158</v>
      </c>
      <c r="B1" s="72"/>
      <c r="C1" s="72"/>
      <c r="D1" s="72"/>
      <c r="E1" s="72"/>
      <c r="F1" s="72"/>
      <c r="G1" s="72"/>
      <c r="H1" s="72"/>
      <c r="I1" s="72"/>
      <c r="J1" s="72"/>
    </row>
    <row r="2" spans="1:10" ht="18" customHeight="1">
      <c r="A2" s="72"/>
      <c r="B2" s="72"/>
      <c r="C2" s="72"/>
      <c r="D2" s="72"/>
      <c r="E2" s="72"/>
      <c r="F2" s="72"/>
      <c r="G2" s="72"/>
      <c r="H2" s="72"/>
      <c r="I2" s="72"/>
      <c r="J2" s="72"/>
    </row>
    <row r="3" spans="1:10" ht="24" customHeight="1">
      <c r="A3" s="73" t="s">
        <v>159</v>
      </c>
      <c r="B3" s="73"/>
      <c r="C3" s="73"/>
      <c r="D3" s="73"/>
      <c r="E3" s="73"/>
      <c r="F3" s="73"/>
      <c r="G3" s="73"/>
      <c r="H3" s="73"/>
      <c r="I3" s="73"/>
      <c r="J3" s="73"/>
    </row>
    <row r="6" spans="1:10" ht="36" customHeight="1">
      <c r="A6" s="17" t="s">
        <v>160</v>
      </c>
      <c r="B6" s="17" t="s">
        <v>41</v>
      </c>
      <c r="C6" s="17" t="s">
        <v>42</v>
      </c>
      <c r="D6" s="17" t="s">
        <v>161</v>
      </c>
      <c r="E6" s="17" t="s">
        <v>44</v>
      </c>
      <c r="F6" s="17" t="s">
        <v>45</v>
      </c>
      <c r="G6" s="17" t="s">
        <v>162</v>
      </c>
      <c r="H6" s="17" t="s">
        <v>163</v>
      </c>
      <c r="I6" s="17" t="s">
        <v>46</v>
      </c>
      <c r="J6" s="17" t="s">
        <v>47</v>
      </c>
    </row>
    <row r="7" spans="1:10" ht="48" customHeight="1">
      <c r="A7" s="21" t="s">
        <v>164</v>
      </c>
      <c r="B7" s="21" t="s">
        <v>165</v>
      </c>
      <c r="C7" s="18" t="s">
        <v>166</v>
      </c>
      <c r="D7" s="24" t="s">
        <v>167</v>
      </c>
      <c r="E7" s="24" t="s">
        <v>32</v>
      </c>
      <c r="F7" s="24" t="s">
        <v>51</v>
      </c>
      <c r="G7" s="24" t="s">
        <v>168</v>
      </c>
      <c r="H7" s="18" t="s">
        <v>119</v>
      </c>
      <c r="I7" s="18" t="s">
        <v>169</v>
      </c>
      <c r="J7" s="18" t="s">
        <v>170</v>
      </c>
    </row>
    <row r="8" spans="1:10" ht="48" customHeight="1">
      <c r="A8" s="22" t="s">
        <v>164</v>
      </c>
      <c r="B8" s="22" t="s">
        <v>171</v>
      </c>
      <c r="C8" s="19" t="s">
        <v>123</v>
      </c>
      <c r="D8" s="25" t="s">
        <v>167</v>
      </c>
      <c r="E8" s="25" t="s">
        <v>124</v>
      </c>
      <c r="F8" s="25" t="s">
        <v>51</v>
      </c>
      <c r="G8" s="25" t="s">
        <v>172</v>
      </c>
      <c r="H8" s="19" t="s">
        <v>122</v>
      </c>
      <c r="I8" s="19" t="s">
        <v>173</v>
      </c>
      <c r="J8" s="19" t="s">
        <v>174</v>
      </c>
    </row>
    <row r="9" spans="1:10" ht="48" customHeight="1">
      <c r="A9" s="22" t="s">
        <v>175</v>
      </c>
      <c r="B9" s="22" t="s">
        <v>176</v>
      </c>
      <c r="C9" s="19" t="s">
        <v>177</v>
      </c>
      <c r="D9" s="25" t="s">
        <v>167</v>
      </c>
      <c r="E9" s="25" t="s">
        <v>34</v>
      </c>
      <c r="F9" s="25" t="s">
        <v>51</v>
      </c>
      <c r="G9" s="25" t="s">
        <v>168</v>
      </c>
      <c r="H9" s="19" t="s">
        <v>126</v>
      </c>
      <c r="I9" s="19" t="s">
        <v>178</v>
      </c>
      <c r="J9" s="19" t="s">
        <v>179</v>
      </c>
    </row>
    <row r="10" spans="1:10" ht="48" customHeight="1">
      <c r="A10" s="22" t="s">
        <v>175</v>
      </c>
      <c r="B10" s="22" t="s">
        <v>180</v>
      </c>
      <c r="C10" s="19" t="s">
        <v>130</v>
      </c>
      <c r="D10" s="25" t="s">
        <v>167</v>
      </c>
      <c r="E10" s="25" t="s">
        <v>124</v>
      </c>
      <c r="F10" s="25" t="s">
        <v>51</v>
      </c>
      <c r="G10" s="25" t="s">
        <v>172</v>
      </c>
      <c r="H10" s="19" t="s">
        <v>129</v>
      </c>
      <c r="I10" s="19" t="s">
        <v>173</v>
      </c>
      <c r="J10" s="19" t="s">
        <v>181</v>
      </c>
    </row>
    <row r="11" spans="1:10" ht="48" customHeight="1">
      <c r="A11" s="22" t="s">
        <v>175</v>
      </c>
      <c r="B11" s="22" t="s">
        <v>165</v>
      </c>
      <c r="C11" s="19" t="s">
        <v>182</v>
      </c>
      <c r="D11" s="25" t="s">
        <v>167</v>
      </c>
      <c r="E11" s="25" t="s">
        <v>32</v>
      </c>
      <c r="F11" s="25" t="s">
        <v>51</v>
      </c>
      <c r="G11" s="25" t="s">
        <v>183</v>
      </c>
      <c r="H11" s="19" t="s">
        <v>119</v>
      </c>
      <c r="I11" s="19" t="s">
        <v>318</v>
      </c>
      <c r="J11" s="19" t="s">
        <v>184</v>
      </c>
    </row>
    <row r="12" spans="1:10" ht="48" customHeight="1">
      <c r="A12" s="22" t="s">
        <v>185</v>
      </c>
      <c r="B12" s="22" t="s">
        <v>186</v>
      </c>
      <c r="C12" s="19" t="s">
        <v>187</v>
      </c>
      <c r="D12" s="25" t="s">
        <v>167</v>
      </c>
      <c r="E12" s="25" t="s">
        <v>134</v>
      </c>
      <c r="F12" s="25" t="s">
        <v>188</v>
      </c>
      <c r="G12" s="25" t="s">
        <v>168</v>
      </c>
      <c r="H12" s="19" t="s">
        <v>189</v>
      </c>
      <c r="I12" s="19" t="s">
        <v>178</v>
      </c>
      <c r="J12" s="19" t="s">
        <v>190</v>
      </c>
    </row>
    <row r="13" spans="1:10" ht="48" customHeight="1">
      <c r="A13" s="22" t="s">
        <v>185</v>
      </c>
      <c r="B13" s="22" t="s">
        <v>176</v>
      </c>
      <c r="C13" s="19" t="s">
        <v>191</v>
      </c>
      <c r="D13" s="25" t="s">
        <v>167</v>
      </c>
      <c r="E13" s="25" t="s">
        <v>34</v>
      </c>
      <c r="F13" s="25" t="s">
        <v>51</v>
      </c>
      <c r="G13" s="25" t="s">
        <v>183</v>
      </c>
      <c r="H13" s="19" t="s">
        <v>126</v>
      </c>
      <c r="I13" s="19" t="s">
        <v>319</v>
      </c>
      <c r="J13" s="19" t="s">
        <v>192</v>
      </c>
    </row>
    <row r="14" spans="1:10" ht="48" customHeight="1">
      <c r="A14" s="22" t="s">
        <v>185</v>
      </c>
      <c r="B14" s="22" t="s">
        <v>193</v>
      </c>
      <c r="C14" s="19" t="s">
        <v>194</v>
      </c>
      <c r="D14" s="25" t="s">
        <v>167</v>
      </c>
      <c r="E14" s="25" t="s">
        <v>34</v>
      </c>
      <c r="F14" s="25" t="s">
        <v>156</v>
      </c>
      <c r="G14" s="25" t="s">
        <v>172</v>
      </c>
      <c r="H14" s="19" t="s">
        <v>132</v>
      </c>
      <c r="I14" s="19" t="s">
        <v>320</v>
      </c>
      <c r="J14" s="19" t="s">
        <v>195</v>
      </c>
    </row>
    <row r="15" spans="1:10" ht="48" customHeight="1">
      <c r="A15" s="22" t="s">
        <v>185</v>
      </c>
      <c r="B15" s="22" t="s">
        <v>196</v>
      </c>
      <c r="C15" s="19" t="s">
        <v>137</v>
      </c>
      <c r="D15" s="25" t="s">
        <v>167</v>
      </c>
      <c r="E15" s="25" t="s">
        <v>138</v>
      </c>
      <c r="F15" s="25" t="s">
        <v>51</v>
      </c>
      <c r="G15" s="25" t="s">
        <v>172</v>
      </c>
      <c r="H15" s="19" t="s">
        <v>136</v>
      </c>
      <c r="I15" s="19" t="s">
        <v>173</v>
      </c>
      <c r="J15" s="19" t="s">
        <v>197</v>
      </c>
    </row>
    <row r="16" spans="1:10" ht="48" customHeight="1">
      <c r="A16" s="22" t="s">
        <v>198</v>
      </c>
      <c r="B16" s="22" t="s">
        <v>186</v>
      </c>
      <c r="C16" s="19" t="s">
        <v>199</v>
      </c>
      <c r="D16" s="25" t="s">
        <v>167</v>
      </c>
      <c r="E16" s="25" t="s">
        <v>134</v>
      </c>
      <c r="F16" s="25" t="s">
        <v>188</v>
      </c>
      <c r="G16" s="25" t="s">
        <v>200</v>
      </c>
      <c r="H16" s="19" t="s">
        <v>201</v>
      </c>
      <c r="I16" s="19" t="s">
        <v>321</v>
      </c>
      <c r="J16" s="19" t="s">
        <v>202</v>
      </c>
    </row>
    <row r="17" spans="1:10" ht="48" customHeight="1">
      <c r="A17" s="22" t="s">
        <v>198</v>
      </c>
      <c r="B17" s="22" t="s">
        <v>203</v>
      </c>
      <c r="C17" s="19" t="s">
        <v>149</v>
      </c>
      <c r="D17" s="25" t="s">
        <v>204</v>
      </c>
      <c r="E17" s="25" t="s">
        <v>205</v>
      </c>
      <c r="F17" s="25" t="s">
        <v>51</v>
      </c>
      <c r="G17" s="25" t="s">
        <v>172</v>
      </c>
      <c r="H17" s="19" t="s">
        <v>148</v>
      </c>
      <c r="I17" s="19" t="s">
        <v>95</v>
      </c>
      <c r="J17" s="19" t="s">
        <v>206</v>
      </c>
    </row>
    <row r="18" spans="1:10" ht="48" customHeight="1">
      <c r="A18" s="22" t="s">
        <v>198</v>
      </c>
      <c r="B18" s="22" t="s">
        <v>207</v>
      </c>
      <c r="C18" s="19" t="s">
        <v>152</v>
      </c>
      <c r="D18" s="25" t="s">
        <v>204</v>
      </c>
      <c r="E18" s="25" t="s">
        <v>205</v>
      </c>
      <c r="F18" s="25" t="s">
        <v>51</v>
      </c>
      <c r="G18" s="25" t="s">
        <v>172</v>
      </c>
      <c r="H18" s="19" t="s">
        <v>151</v>
      </c>
      <c r="I18" s="19" t="s">
        <v>95</v>
      </c>
      <c r="J18" s="19" t="s">
        <v>206</v>
      </c>
    </row>
    <row r="19" spans="1:10" ht="48" customHeight="1">
      <c r="A19" s="22" t="s">
        <v>198</v>
      </c>
      <c r="B19" s="22" t="s">
        <v>208</v>
      </c>
      <c r="C19" s="19" t="s">
        <v>155</v>
      </c>
      <c r="D19" s="25" t="s">
        <v>204</v>
      </c>
      <c r="E19" s="25" t="s">
        <v>205</v>
      </c>
      <c r="F19" s="25" t="s">
        <v>156</v>
      </c>
      <c r="G19" s="25" t="s">
        <v>172</v>
      </c>
      <c r="H19" s="19" t="s">
        <v>154</v>
      </c>
      <c r="I19" s="19" t="s">
        <v>95</v>
      </c>
      <c r="J19" s="19" t="s">
        <v>209</v>
      </c>
    </row>
    <row r="20" spans="1:10" ht="48" customHeight="1">
      <c r="A20" s="22" t="s">
        <v>210</v>
      </c>
      <c r="B20" s="22" t="s">
        <v>211</v>
      </c>
      <c r="C20" s="19" t="s">
        <v>212</v>
      </c>
      <c r="D20" s="25" t="s">
        <v>204</v>
      </c>
      <c r="E20" s="25" t="s">
        <v>205</v>
      </c>
      <c r="F20" s="25" t="s">
        <v>51</v>
      </c>
      <c r="G20" s="25" t="s">
        <v>168</v>
      </c>
      <c r="H20" s="19" t="s">
        <v>97</v>
      </c>
      <c r="I20" s="19" t="s">
        <v>213</v>
      </c>
      <c r="J20" s="19" t="s">
        <v>214</v>
      </c>
    </row>
    <row r="21" spans="1:10" ht="48" customHeight="1">
      <c r="A21" s="22" t="s">
        <v>210</v>
      </c>
      <c r="B21" s="22" t="s">
        <v>215</v>
      </c>
      <c r="C21" s="19" t="s">
        <v>216</v>
      </c>
      <c r="D21" s="25" t="s">
        <v>167</v>
      </c>
      <c r="E21" s="25" t="s">
        <v>217</v>
      </c>
      <c r="F21" s="25" t="s">
        <v>51</v>
      </c>
      <c r="G21" s="25" t="s">
        <v>172</v>
      </c>
      <c r="H21" s="19" t="s">
        <v>100</v>
      </c>
      <c r="I21" s="19" t="s">
        <v>323</v>
      </c>
      <c r="J21" s="19" t="s">
        <v>218</v>
      </c>
    </row>
    <row r="22" spans="1:10" ht="48" customHeight="1">
      <c r="A22" s="22" t="s">
        <v>219</v>
      </c>
      <c r="B22" s="22" t="s">
        <v>220</v>
      </c>
      <c r="C22" s="19" t="s">
        <v>221</v>
      </c>
      <c r="D22" s="25" t="s">
        <v>204</v>
      </c>
      <c r="E22" s="25" t="s">
        <v>205</v>
      </c>
      <c r="F22" s="25" t="s">
        <v>156</v>
      </c>
      <c r="G22" s="25" t="s">
        <v>168</v>
      </c>
      <c r="H22" s="19" t="s">
        <v>222</v>
      </c>
      <c r="I22" s="19" t="s">
        <v>169</v>
      </c>
      <c r="J22" s="19" t="s">
        <v>223</v>
      </c>
    </row>
    <row r="23" spans="1:10" ht="48" customHeight="1">
      <c r="A23" s="22" t="s">
        <v>219</v>
      </c>
      <c r="B23" s="22" t="s">
        <v>186</v>
      </c>
      <c r="C23" s="19" t="s">
        <v>224</v>
      </c>
      <c r="D23" s="25" t="s">
        <v>167</v>
      </c>
      <c r="E23" s="25" t="s">
        <v>134</v>
      </c>
      <c r="F23" s="25" t="s">
        <v>188</v>
      </c>
      <c r="G23" s="25" t="s">
        <v>183</v>
      </c>
      <c r="H23" s="19" t="s">
        <v>225</v>
      </c>
      <c r="I23" s="19" t="s">
        <v>322</v>
      </c>
      <c r="J23" s="19" t="s">
        <v>226</v>
      </c>
    </row>
    <row r="24" spans="1:10" ht="48" customHeight="1">
      <c r="A24" s="22" t="s">
        <v>219</v>
      </c>
      <c r="B24" s="22" t="s">
        <v>227</v>
      </c>
      <c r="C24" s="19" t="s">
        <v>69</v>
      </c>
      <c r="D24" s="25" t="s">
        <v>204</v>
      </c>
      <c r="E24" s="25" t="s">
        <v>205</v>
      </c>
      <c r="F24" s="25" t="s">
        <v>51</v>
      </c>
      <c r="G24" s="25" t="s">
        <v>172</v>
      </c>
      <c r="H24" s="19" t="s">
        <v>68</v>
      </c>
      <c r="I24" s="19" t="s">
        <v>228</v>
      </c>
      <c r="J24" s="19" t="s">
        <v>206</v>
      </c>
    </row>
    <row r="25" spans="1:10" ht="48" customHeight="1">
      <c r="A25" s="22" t="s">
        <v>219</v>
      </c>
      <c r="B25" s="22" t="s">
        <v>229</v>
      </c>
      <c r="C25" s="19" t="s">
        <v>230</v>
      </c>
      <c r="D25" s="25" t="s">
        <v>167</v>
      </c>
      <c r="E25" s="25" t="s">
        <v>30</v>
      </c>
      <c r="F25" s="25" t="s">
        <v>51</v>
      </c>
      <c r="G25" s="25" t="s">
        <v>172</v>
      </c>
      <c r="H25" s="19" t="s">
        <v>71</v>
      </c>
      <c r="I25" s="19" t="s">
        <v>231</v>
      </c>
      <c r="J25" s="19" t="s">
        <v>232</v>
      </c>
    </row>
    <row r="26" spans="1:10" ht="48" customHeight="1">
      <c r="A26" s="22" t="s">
        <v>219</v>
      </c>
      <c r="B26" s="22" t="s">
        <v>233</v>
      </c>
      <c r="C26" s="19" t="s">
        <v>234</v>
      </c>
      <c r="D26" s="25" t="s">
        <v>167</v>
      </c>
      <c r="E26" s="25" t="s">
        <v>56</v>
      </c>
      <c r="F26" s="25" t="s">
        <v>51</v>
      </c>
      <c r="G26" s="25" t="s">
        <v>172</v>
      </c>
      <c r="H26" s="19" t="s">
        <v>74</v>
      </c>
      <c r="I26" s="19" t="s">
        <v>231</v>
      </c>
      <c r="J26" s="19" t="s">
        <v>232</v>
      </c>
    </row>
    <row r="27" spans="1:10" ht="48" customHeight="1">
      <c r="A27" s="22" t="s">
        <v>219</v>
      </c>
      <c r="B27" s="22" t="s">
        <v>235</v>
      </c>
      <c r="C27" s="19" t="s">
        <v>78</v>
      </c>
      <c r="D27" s="25" t="s">
        <v>167</v>
      </c>
      <c r="E27" s="25" t="s">
        <v>79</v>
      </c>
      <c r="F27" s="25" t="s">
        <v>51</v>
      </c>
      <c r="G27" s="25" t="s">
        <v>172</v>
      </c>
      <c r="H27" s="19" t="s">
        <v>77</v>
      </c>
      <c r="I27" s="19" t="s">
        <v>231</v>
      </c>
      <c r="J27" s="19" t="s">
        <v>232</v>
      </c>
    </row>
    <row r="28" spans="1:10" ht="48" customHeight="1">
      <c r="A28" s="22" t="s">
        <v>219</v>
      </c>
      <c r="B28" s="22" t="s">
        <v>236</v>
      </c>
      <c r="C28" s="19" t="s">
        <v>82</v>
      </c>
      <c r="D28" s="25" t="s">
        <v>167</v>
      </c>
      <c r="E28" s="25" t="s">
        <v>61</v>
      </c>
      <c r="F28" s="25" t="s">
        <v>51</v>
      </c>
      <c r="G28" s="25" t="s">
        <v>172</v>
      </c>
      <c r="H28" s="19" t="s">
        <v>81</v>
      </c>
      <c r="I28" s="19" t="s">
        <v>324</v>
      </c>
      <c r="J28" s="19" t="s">
        <v>237</v>
      </c>
    </row>
    <row r="29" spans="1:10" ht="48" customHeight="1">
      <c r="A29" s="22" t="s">
        <v>219</v>
      </c>
      <c r="B29" s="22" t="s">
        <v>238</v>
      </c>
      <c r="C29" s="19" t="s">
        <v>239</v>
      </c>
      <c r="D29" s="25" t="s">
        <v>240</v>
      </c>
      <c r="E29" s="25" t="s">
        <v>91</v>
      </c>
      <c r="F29" s="25" t="s">
        <v>51</v>
      </c>
      <c r="G29" s="25" t="s">
        <v>172</v>
      </c>
      <c r="H29" s="19" t="s">
        <v>89</v>
      </c>
      <c r="I29" s="19" t="s">
        <v>325</v>
      </c>
      <c r="J29" s="19" t="s">
        <v>241</v>
      </c>
    </row>
    <row r="30" spans="1:10" ht="48" customHeight="1">
      <c r="A30" s="22" t="s">
        <v>219</v>
      </c>
      <c r="B30" s="22" t="s">
        <v>242</v>
      </c>
      <c r="C30" s="19" t="s">
        <v>243</v>
      </c>
      <c r="D30" s="25" t="s">
        <v>240</v>
      </c>
      <c r="E30" s="25" t="s">
        <v>91</v>
      </c>
      <c r="F30" s="25" t="s">
        <v>51</v>
      </c>
      <c r="G30" s="25" t="s">
        <v>172</v>
      </c>
      <c r="H30" s="19" t="s">
        <v>104</v>
      </c>
      <c r="I30" s="19" t="s">
        <v>326</v>
      </c>
      <c r="J30" s="19" t="s">
        <v>241</v>
      </c>
    </row>
    <row r="31" spans="1:10" ht="48" customHeight="1">
      <c r="A31" s="22" t="s">
        <v>219</v>
      </c>
      <c r="B31" s="22" t="s">
        <v>244</v>
      </c>
      <c r="C31" s="19" t="s">
        <v>245</v>
      </c>
      <c r="D31" s="25" t="s">
        <v>204</v>
      </c>
      <c r="E31" s="25" t="s">
        <v>205</v>
      </c>
      <c r="F31" s="25" t="s">
        <v>51</v>
      </c>
      <c r="G31" s="25" t="s">
        <v>172</v>
      </c>
      <c r="H31" s="19" t="s">
        <v>107</v>
      </c>
      <c r="I31" s="19" t="s">
        <v>327</v>
      </c>
      <c r="J31" s="19" t="s">
        <v>206</v>
      </c>
    </row>
    <row r="32" spans="1:10" ht="48" customHeight="1">
      <c r="A32" s="22" t="s">
        <v>219</v>
      </c>
      <c r="B32" s="22" t="s">
        <v>211</v>
      </c>
      <c r="C32" s="19" t="s">
        <v>246</v>
      </c>
      <c r="D32" s="25" t="s">
        <v>204</v>
      </c>
      <c r="E32" s="25" t="s">
        <v>205</v>
      </c>
      <c r="F32" s="25" t="s">
        <v>51</v>
      </c>
      <c r="G32" s="25" t="s">
        <v>183</v>
      </c>
      <c r="H32" s="19" t="s">
        <v>97</v>
      </c>
      <c r="I32" s="19" t="s">
        <v>328</v>
      </c>
      <c r="J32" s="19" t="s">
        <v>206</v>
      </c>
    </row>
    <row r="33" spans="1:10" ht="48" customHeight="1">
      <c r="A33" s="22" t="s">
        <v>247</v>
      </c>
      <c r="B33" s="22" t="s">
        <v>248</v>
      </c>
      <c r="C33" s="19" t="s">
        <v>249</v>
      </c>
      <c r="D33" s="25" t="s">
        <v>204</v>
      </c>
      <c r="E33" s="25" t="s">
        <v>205</v>
      </c>
      <c r="F33" s="25" t="s">
        <v>156</v>
      </c>
      <c r="G33" s="25" t="s">
        <v>168</v>
      </c>
      <c r="H33" s="19" t="s">
        <v>222</v>
      </c>
      <c r="I33" s="19" t="s">
        <v>169</v>
      </c>
      <c r="J33" s="19" t="s">
        <v>223</v>
      </c>
    </row>
    <row r="34" spans="1:10" ht="48" customHeight="1">
      <c r="A34" s="22" t="s">
        <v>247</v>
      </c>
      <c r="B34" s="22" t="s">
        <v>220</v>
      </c>
      <c r="C34" s="19" t="s">
        <v>250</v>
      </c>
      <c r="D34" s="25" t="s">
        <v>204</v>
      </c>
      <c r="E34" s="25" t="s">
        <v>205</v>
      </c>
      <c r="F34" s="25" t="s">
        <v>156</v>
      </c>
      <c r="G34" s="25" t="s">
        <v>183</v>
      </c>
      <c r="H34" s="19" t="s">
        <v>251</v>
      </c>
      <c r="I34" s="19" t="s">
        <v>252</v>
      </c>
      <c r="J34" s="19" t="s">
        <v>253</v>
      </c>
    </row>
    <row r="35" spans="1:10" ht="48" customHeight="1">
      <c r="A35" s="22" t="s">
        <v>247</v>
      </c>
      <c r="B35" s="22" t="s">
        <v>254</v>
      </c>
      <c r="C35" s="19" t="s">
        <v>255</v>
      </c>
      <c r="D35" s="25" t="s">
        <v>204</v>
      </c>
      <c r="E35" s="25" t="s">
        <v>205</v>
      </c>
      <c r="F35" s="25" t="s">
        <v>51</v>
      </c>
      <c r="G35" s="25" t="s">
        <v>172</v>
      </c>
      <c r="H35" s="19" t="s">
        <v>48</v>
      </c>
      <c r="I35" s="19" t="s">
        <v>228</v>
      </c>
      <c r="J35" s="19" t="s">
        <v>206</v>
      </c>
    </row>
    <row r="36" spans="1:10" ht="48" customHeight="1">
      <c r="A36" s="22" t="s">
        <v>247</v>
      </c>
      <c r="B36" s="22" t="s">
        <v>256</v>
      </c>
      <c r="C36" s="19" t="s">
        <v>257</v>
      </c>
      <c r="D36" s="25" t="s">
        <v>55</v>
      </c>
      <c r="E36" s="25" t="s">
        <v>56</v>
      </c>
      <c r="F36" s="25" t="s">
        <v>51</v>
      </c>
      <c r="G36" s="25" t="s">
        <v>172</v>
      </c>
      <c r="H36" s="19" t="s">
        <v>53</v>
      </c>
      <c r="I36" s="19" t="s">
        <v>329</v>
      </c>
      <c r="J36" s="19" t="s">
        <v>258</v>
      </c>
    </row>
    <row r="37" spans="1:10" ht="48" customHeight="1">
      <c r="A37" s="22" t="s">
        <v>247</v>
      </c>
      <c r="B37" s="22" t="s">
        <v>259</v>
      </c>
      <c r="C37" s="19" t="s">
        <v>260</v>
      </c>
      <c r="D37" s="25" t="s">
        <v>167</v>
      </c>
      <c r="E37" s="25" t="s">
        <v>217</v>
      </c>
      <c r="F37" s="25" t="s">
        <v>51</v>
      </c>
      <c r="G37" s="25" t="s">
        <v>172</v>
      </c>
      <c r="H37" s="19" t="s">
        <v>58</v>
      </c>
      <c r="I37" s="19" t="s">
        <v>330</v>
      </c>
      <c r="J37" s="19" t="s">
        <v>232</v>
      </c>
    </row>
    <row r="38" spans="1:10" ht="48" customHeight="1">
      <c r="A38" s="22" t="s">
        <v>247</v>
      </c>
      <c r="B38" s="22" t="s">
        <v>261</v>
      </c>
      <c r="C38" s="19" t="s">
        <v>262</v>
      </c>
      <c r="D38" s="25" t="s">
        <v>263</v>
      </c>
      <c r="E38" s="25" t="s">
        <v>66</v>
      </c>
      <c r="F38" s="25" t="s">
        <v>51</v>
      </c>
      <c r="G38" s="25" t="s">
        <v>172</v>
      </c>
      <c r="H38" s="19" t="s">
        <v>63</v>
      </c>
      <c r="I38" s="19" t="s">
        <v>331</v>
      </c>
      <c r="J38" s="19" t="s">
        <v>241</v>
      </c>
    </row>
    <row r="39" spans="1:10" ht="48" customHeight="1">
      <c r="A39" s="23" t="s">
        <v>247</v>
      </c>
      <c r="B39" s="23" t="s">
        <v>264</v>
      </c>
      <c r="C39" s="20" t="s">
        <v>265</v>
      </c>
      <c r="D39" s="26" t="s">
        <v>204</v>
      </c>
      <c r="E39" s="26" t="s">
        <v>205</v>
      </c>
      <c r="F39" s="26" t="s">
        <v>51</v>
      </c>
      <c r="G39" s="26" t="s">
        <v>172</v>
      </c>
      <c r="H39" s="20" t="s">
        <v>93</v>
      </c>
      <c r="I39" s="20" t="s">
        <v>332</v>
      </c>
      <c r="J39" s="20" t="s">
        <v>206</v>
      </c>
    </row>
  </sheetData>
  <mergeCells count="2">
    <mergeCell ref="A1:J2"/>
    <mergeCell ref="A3:J3"/>
  </mergeCells>
  <conditionalFormatting sqref="G7:G39">
    <cfRule type="containsText" dxfId="1" priority="1" operator="containsText" text="PK"/>
    <cfRule type="containsText" dxfId="0" priority="2" operator="containsText" text="FK"/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7"/>
  <sheetViews>
    <sheetView showGridLines="0" topLeftCell="A4" workbookViewId="0">
      <selection activeCell="B10" sqref="B10"/>
    </sheetView>
  </sheetViews>
  <sheetFormatPr baseColWidth="10" defaultColWidth="9" defaultRowHeight="14.25"/>
  <cols>
    <col min="1" max="1" width="28" customWidth="1"/>
    <col min="2" max="2" width="78" customWidth="1"/>
    <col min="3" max="3" width="22" customWidth="1"/>
    <col min="4" max="4" width="24" customWidth="1"/>
  </cols>
  <sheetData>
    <row r="1" spans="1:4" ht="27.95" customHeight="1">
      <c r="A1" s="72" t="s">
        <v>266</v>
      </c>
      <c r="B1" s="72"/>
      <c r="C1" s="72"/>
      <c r="D1" s="72"/>
    </row>
    <row r="2" spans="1:4" ht="18" customHeight="1">
      <c r="A2" s="72"/>
      <c r="B2" s="72"/>
      <c r="C2" s="72"/>
      <c r="D2" s="72"/>
    </row>
    <row r="3" spans="1:4" ht="24" customHeight="1">
      <c r="A3" s="73" t="s">
        <v>267</v>
      </c>
      <c r="B3" s="73"/>
      <c r="C3" s="73"/>
      <c r="D3" s="73"/>
    </row>
    <row r="6" spans="1:4" ht="33.950000000000003" customHeight="1">
      <c r="A6" s="27" t="s">
        <v>268</v>
      </c>
      <c r="B6" s="27" t="s">
        <v>269</v>
      </c>
      <c r="C6" s="27" t="s">
        <v>270</v>
      </c>
      <c r="D6" s="27" t="s">
        <v>271</v>
      </c>
    </row>
    <row r="7" spans="1:4" ht="42" customHeight="1">
      <c r="A7" s="28" t="s">
        <v>41</v>
      </c>
      <c r="B7" s="18" t="s">
        <v>272</v>
      </c>
      <c r="C7" s="18" t="s">
        <v>273</v>
      </c>
      <c r="D7" s="18" t="s">
        <v>274</v>
      </c>
    </row>
    <row r="8" spans="1:4" ht="42" customHeight="1">
      <c r="A8" s="29" t="s">
        <v>42</v>
      </c>
      <c r="B8" s="19" t="s">
        <v>275</v>
      </c>
      <c r="C8" s="19" t="s">
        <v>273</v>
      </c>
      <c r="D8" s="19" t="s">
        <v>274</v>
      </c>
    </row>
    <row r="9" spans="1:4" ht="42" customHeight="1">
      <c r="A9" s="29" t="s">
        <v>43</v>
      </c>
      <c r="B9" s="19" t="s">
        <v>276</v>
      </c>
      <c r="C9" s="19" t="s">
        <v>277</v>
      </c>
      <c r="D9" s="19" t="s">
        <v>274</v>
      </c>
    </row>
    <row r="10" spans="1:4" ht="42" customHeight="1">
      <c r="A10" s="29" t="s">
        <v>44</v>
      </c>
      <c r="B10" s="19" t="s">
        <v>278</v>
      </c>
      <c r="C10" s="19" t="s">
        <v>273</v>
      </c>
      <c r="D10" s="19" t="s">
        <v>279</v>
      </c>
    </row>
    <row r="11" spans="1:4" ht="42" customHeight="1">
      <c r="A11" s="29" t="s">
        <v>45</v>
      </c>
      <c r="B11" s="19" t="s">
        <v>280</v>
      </c>
      <c r="C11" s="19" t="s">
        <v>277</v>
      </c>
      <c r="D11" s="19" t="s">
        <v>274</v>
      </c>
    </row>
    <row r="12" spans="1:4" ht="42" customHeight="1">
      <c r="A12" s="29" t="s">
        <v>46</v>
      </c>
      <c r="B12" s="19" t="s">
        <v>281</v>
      </c>
      <c r="C12" s="19" t="s">
        <v>273</v>
      </c>
      <c r="D12" s="19" t="s">
        <v>274</v>
      </c>
    </row>
    <row r="13" spans="1:4" ht="42" customHeight="1">
      <c r="A13" s="29" t="s">
        <v>47</v>
      </c>
      <c r="B13" s="19" t="s">
        <v>282</v>
      </c>
      <c r="C13" s="19" t="s">
        <v>273</v>
      </c>
      <c r="D13" s="19" t="s">
        <v>283</v>
      </c>
    </row>
    <row r="14" spans="1:4" ht="42" customHeight="1">
      <c r="A14" s="29" t="s">
        <v>168</v>
      </c>
      <c r="B14" s="19" t="s">
        <v>284</v>
      </c>
      <c r="C14" s="19" t="s">
        <v>285</v>
      </c>
      <c r="D14" s="19" t="s">
        <v>286</v>
      </c>
    </row>
    <row r="15" spans="1:4" ht="42" customHeight="1">
      <c r="A15" s="29" t="s">
        <v>183</v>
      </c>
      <c r="B15" s="19" t="s">
        <v>287</v>
      </c>
      <c r="C15" s="19" t="s">
        <v>285</v>
      </c>
      <c r="D15" s="19" t="s">
        <v>286</v>
      </c>
    </row>
    <row r="16" spans="1:4" ht="42" customHeight="1">
      <c r="A16" s="29" t="s">
        <v>288</v>
      </c>
      <c r="B16" s="19" t="s">
        <v>289</v>
      </c>
      <c r="C16" s="19" t="s">
        <v>290</v>
      </c>
      <c r="D16" s="19" t="s">
        <v>286</v>
      </c>
    </row>
    <row r="17" spans="1:4" ht="42" customHeight="1">
      <c r="A17" s="30" t="s">
        <v>291</v>
      </c>
      <c r="B17" s="20" t="s">
        <v>333</v>
      </c>
      <c r="C17" s="20" t="s">
        <v>292</v>
      </c>
      <c r="D17" s="20" t="s">
        <v>293</v>
      </c>
    </row>
  </sheetData>
  <mergeCells count="2">
    <mergeCell ref="A1:D2"/>
    <mergeCell ref="A3:D3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Accueil</vt:lpstr>
      <vt:lpstr>Source - DVF</vt:lpstr>
      <vt:lpstr>Source - Géographie</vt:lpstr>
      <vt:lpstr>Source - Population</vt:lpstr>
      <vt:lpstr>Modèle final</vt:lpstr>
      <vt:lpstr>Lexique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Stephane F</cp:lastModifiedBy>
  <dcterms:modified xsi:type="dcterms:W3CDTF">2026-08-14T22:20:39Z</dcterms:modified>
</cp:coreProperties>
</file>